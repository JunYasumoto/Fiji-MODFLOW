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10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11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trols" sheetId="2" state="visible" r:id="rId2"/>
    <sheet xmlns:r="http://schemas.openxmlformats.org/officeDocument/2006/relationships" name="River_Points" sheetId="3" state="visible" r:id="rId3"/>
    <sheet xmlns:r="http://schemas.openxmlformats.org/officeDocument/2006/relationships" name="Groundwater" sheetId="4" state="visible" r:id="rId4"/>
    <sheet xmlns:r="http://schemas.openxmlformats.org/officeDocument/2006/relationships" name="FR2" sheetId="5" state="visible" r:id="rId5"/>
    <sheet xmlns:r="http://schemas.openxmlformats.org/officeDocument/2006/relationships" name="FR3" sheetId="6" state="visible" r:id="rId6"/>
    <sheet xmlns:r="http://schemas.openxmlformats.org/officeDocument/2006/relationships" name="FR4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FR5" sheetId="9" state="visible" r:id="rId9"/>
    <sheet xmlns:r="http://schemas.openxmlformats.org/officeDocument/2006/relationships" name="FR6" sheetId="10" state="visible" r:id="rId10"/>
    <sheet xmlns:r="http://schemas.openxmlformats.org/officeDocument/2006/relationships" name="FR7" sheetId="11" state="visible" r:id="rId11"/>
    <sheet xmlns:r="http://schemas.openxmlformats.org/officeDocument/2006/relationships" name="Model_River_Obs" sheetId="12" state="visible" r:id="rId12"/>
    <sheet xmlns:r="http://schemas.openxmlformats.org/officeDocument/2006/relationships" name="Model_GW_Obs" sheetId="13" state="visible" r:id="rId13"/>
    <sheet xmlns:r="http://schemas.openxmlformats.org/officeDocument/2006/relationships" name="Calibration_Plan" sheetId="14" state="visible" r:id="rId14"/>
    <sheet xmlns:r="http://schemas.openxmlformats.org/officeDocument/2006/relationships" name="FR2_0324" sheetId="15" state="visible" r:id="rId15"/>
    <sheet xmlns:r="http://schemas.openxmlformats.org/officeDocument/2006/relationships" name="Chemistry_Notes" sheetId="16" state="visible" r:id="rId16"/>
    <sheet xmlns:r="http://schemas.openxmlformats.org/officeDocument/2006/relationships" name="GW_Uncertainty" sheetId="17" state="visible" r:id="rId17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"/>
  </numFmts>
  <fonts count="18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1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color rgb="FF800080"/>
      <sz val="11"/>
    </font>
    <font>
      <name val="Cambria"/>
      <charset val="1"/>
      <family val="0"/>
      <color rgb="FF666666"/>
      <sz val="11"/>
    </font>
    <font>
      <name val="Cambria"/>
      <charset val="1"/>
      <family val="0"/>
      <color rgb="FF0000FF"/>
      <sz val="11"/>
    </font>
    <font>
      <name val="Cambria"/>
      <charset val="1"/>
      <family val="0"/>
      <color rgb="FF000000"/>
      <sz val="11"/>
    </font>
    <font>
      <name val="Cambria"/>
      <charset val="1"/>
      <family val="0"/>
      <b val="1"/>
      <color rgb="FF000000"/>
      <sz val="11"/>
    </font>
    <font>
      <name val="Cambria"/>
      <charset val="1"/>
      <family val="0"/>
      <sz val="11"/>
    </font>
    <font>
      <b val="1"/>
      <color rgb="00FFFFFF"/>
      <sz val="13"/>
    </font>
    <font>
      <b val="1"/>
    </font>
    <font>
      <b val="1"/>
      <color rgb="00FFFFFF"/>
    </font>
    <font>
      <color rgb="000000FF"/>
    </font>
  </fonts>
  <fills count="13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E7E6E6"/>
      </patternFill>
    </fill>
    <fill>
      <patternFill patternType="solid">
        <fgColor rgb="FFF3E5F5"/>
        <bgColor rgb="FFE7E6E6"/>
      </patternFill>
    </fill>
    <fill>
      <patternFill patternType="solid">
        <fgColor rgb="FFE7E6E6"/>
        <bgColor rgb="FFF3E5F5"/>
      </patternFill>
    </fill>
    <fill>
      <patternFill patternType="solid">
        <fgColor rgb="FFEAF2FF"/>
        <bgColor rgb="FFD9EAF7"/>
      </patternFill>
    </fill>
    <fill>
      <patternFill patternType="solid">
        <fgColor rgb="FFFFFFFF"/>
        <bgColor rgb="FFEAF2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F0D9"/>
        <bgColor rgb="FFE7E6E6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5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left" vertical="center"/>
    </xf>
    <xf numFmtId="0" fontId="6" fillId="0" borderId="0" applyAlignment="1" pivotButton="0" quotePrefix="0" xfId="20">
      <alignment horizontal="general" vertical="bottom"/>
    </xf>
    <xf numFmtId="0" fontId="4" fillId="0" borderId="0" applyAlignment="1" pivotButton="0" quotePrefix="0" xfId="20">
      <alignment horizontal="general" vertical="bottom" wrapText="1"/>
    </xf>
    <xf numFmtId="0" fontId="7" fillId="2" borderId="1" applyAlignment="1" pivotButton="0" quotePrefix="0" xfId="20">
      <alignment horizontal="center" vertical="center"/>
    </xf>
    <xf numFmtId="0" fontId="6" fillId="3" borderId="1" applyAlignment="1" pivotButton="0" quotePrefix="0" xfId="20">
      <alignment horizontal="center" vertical="center" wrapText="1"/>
    </xf>
    <xf numFmtId="0" fontId="4" fillId="0" borderId="0" applyAlignment="1" pivotButton="0" quotePrefix="0" xfId="20">
      <alignment horizontal="general" vertical="top" wrapText="1"/>
    </xf>
    <xf numFmtId="2" fontId="8" fillId="4" borderId="0" applyAlignment="1" pivotButton="0" quotePrefix="0" xfId="20">
      <alignment horizontal="center" vertical="bottom"/>
    </xf>
    <xf numFmtId="0" fontId="8" fillId="4" borderId="0" applyAlignment="1" pivotButton="0" quotePrefix="0" xfId="20">
      <alignment horizontal="center" vertical="bottom"/>
    </xf>
    <xf numFmtId="0" fontId="9" fillId="5" borderId="0" applyAlignment="1" pivotButton="0" quotePrefix="0" xfId="20">
      <alignment horizontal="general" vertical="top" wrapText="1"/>
    </xf>
    <xf numFmtId="0" fontId="6" fillId="0" borderId="0" applyAlignment="1" pivotButton="0" quotePrefix="0" xfId="20">
      <alignment horizontal="general" vertical="bottom" wrapText="1"/>
    </xf>
    <xf numFmtId="164" fontId="10" fillId="6" borderId="0" applyAlignment="1" pivotButton="0" quotePrefix="0" xfId="20">
      <alignment horizontal="center" vertical="bottom"/>
    </xf>
    <xf numFmtId="164" fontId="8" fillId="4" borderId="0" applyAlignment="1" pivotButton="0" quotePrefix="0" xfId="20">
      <alignment horizontal="center" vertical="bottom"/>
    </xf>
    <xf numFmtId="164" fontId="11" fillId="7" borderId="0" applyAlignment="1" pivotButton="0" quotePrefix="0" xfId="20">
      <alignment horizontal="center" vertical="bottom"/>
    </xf>
    <xf numFmtId="164" fontId="6" fillId="3" borderId="1" applyAlignment="1" pivotButton="0" quotePrefix="0" xfId="20">
      <alignment horizontal="center" vertical="center" wrapText="1"/>
    </xf>
    <xf numFmtId="0" fontId="12" fillId="3" borderId="2" applyAlignment="1" pivotButton="0" quotePrefix="0" xfId="20">
      <alignment horizontal="center" vertical="center" wrapText="1"/>
    </xf>
    <xf numFmtId="0" fontId="13" fillId="0" borderId="0" applyAlignment="1" pivotButton="0" quotePrefix="0" xfId="20">
      <alignment horizontal="general" vertical="bottom"/>
    </xf>
    <xf numFmtId="164" fontId="7" fillId="2" borderId="1" applyAlignment="1" pivotButton="0" quotePrefix="0" xfId="20">
      <alignment horizontal="center" vertical="center"/>
    </xf>
    <xf numFmtId="0" fontId="13" fillId="0" borderId="1" applyAlignment="1" pivotButton="0" quotePrefix="0" xfId="20">
      <alignment horizontal="center" vertical="center"/>
    </xf>
    <xf numFmtId="164" fontId="10" fillId="8" borderId="1" applyAlignment="1" pivotButton="0" quotePrefix="0" xfId="20">
      <alignment horizontal="center" vertical="center"/>
    </xf>
    <xf numFmtId="164" fontId="11" fillId="5" borderId="1" applyAlignment="1" pivotButton="0" quotePrefix="0" xfId="20">
      <alignment horizontal="center" vertical="center"/>
    </xf>
    <xf numFmtId="164" fontId="10" fillId="5" borderId="1" applyAlignment="1" pivotButton="0" quotePrefix="0" xfId="20">
      <alignment horizontal="center" vertical="center"/>
    </xf>
    <xf numFmtId="0" fontId="4" fillId="9" borderId="1" applyAlignment="1" pivotButton="0" quotePrefix="0" xfId="20">
      <alignment horizontal="left" vertical="center"/>
    </xf>
    <xf numFmtId="164" fontId="4" fillId="0" borderId="0" applyAlignment="1" pivotButton="0" quotePrefix="0" xfId="20">
      <alignment horizontal="general" vertical="bottom"/>
    </xf>
    <xf numFmtId="0" fontId="4" fillId="0" borderId="1" applyAlignment="1" pivotButton="0" quotePrefix="0" xfId="20">
      <alignment horizontal="center" vertical="center"/>
    </xf>
    <xf numFmtId="164" fontId="4" fillId="8" borderId="1" applyAlignment="1" pivotButton="0" quotePrefix="0" xfId="20">
      <alignment horizontal="center" vertical="center"/>
    </xf>
    <xf numFmtId="164" fontId="4" fillId="5" borderId="1" applyAlignment="1" pivotButton="0" quotePrefix="0" xfId="20">
      <alignment horizontal="center" vertical="center"/>
    </xf>
    <xf numFmtId="0" fontId="5" fillId="2" borderId="0" applyAlignment="1" pivotButton="0" quotePrefix="0" xfId="20">
      <alignment horizontal="general" vertical="bottom"/>
    </xf>
    <xf numFmtId="0" fontId="7" fillId="2" borderId="0" applyAlignment="1" pivotButton="0" quotePrefix="0" xfId="20">
      <alignment horizontal="center" vertical="bottom"/>
    </xf>
    <xf numFmtId="165" fontId="4" fillId="6" borderId="0" applyAlignment="1" pivotButton="0" quotePrefix="0" xfId="20">
      <alignment horizontal="general" vertical="bottom"/>
    </xf>
    <xf numFmtId="164" fontId="4" fillId="10" borderId="0" applyAlignment="1" pivotButton="0" quotePrefix="0" xfId="2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2" borderId="0" applyAlignment="1" pivotButton="0" quotePrefix="0" xfId="20">
      <alignment horizontal="general" vertical="bottom"/>
    </xf>
    <xf numFmtId="0" fontId="4" fillId="3" borderId="0" applyAlignment="1" pivotButton="0" quotePrefix="0" xfId="20">
      <alignment horizontal="general" vertical="bottom"/>
    </xf>
    <xf numFmtId="164" fontId="4" fillId="6" borderId="0" applyAlignment="1" pivotButton="0" quotePrefix="0" xfId="20">
      <alignment horizontal="general" vertical="bottom"/>
    </xf>
    <xf numFmtId="0" fontId="4" fillId="8" borderId="0" applyAlignment="1" pivotButton="0" quotePrefix="0" xfId="20">
      <alignment horizontal="general" vertical="bottom"/>
    </xf>
    <xf numFmtId="0" fontId="7" fillId="2" borderId="0" applyAlignment="1" pivotButton="0" quotePrefix="0" xfId="20">
      <alignment horizontal="general" vertical="bottom"/>
    </xf>
    <xf numFmtId="0" fontId="4" fillId="10" borderId="0" applyAlignment="1" pivotButton="0" quotePrefix="0" xfId="2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left" vertical="center"/>
    </xf>
    <xf numFmtId="0" fontId="6" fillId="0" borderId="0" applyAlignment="1" pivotButton="0" quotePrefix="0" xfId="20">
      <alignment horizontal="general" vertical="bottom"/>
    </xf>
    <xf numFmtId="0" fontId="4" fillId="0" borderId="0" applyAlignment="1" pivotButton="0" quotePrefix="0" xfId="20">
      <alignment horizontal="general" vertical="bottom" wrapText="1"/>
    </xf>
    <xf numFmtId="0" fontId="7" fillId="2" borderId="1" applyAlignment="1" pivotButton="0" quotePrefix="0" xfId="2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6" fillId="3" borderId="1" applyAlignment="1" pivotButton="0" quotePrefix="0" xfId="20">
      <alignment horizontal="center" vertical="center" wrapText="1"/>
    </xf>
    <xf numFmtId="0" fontId="4" fillId="0" borderId="0" applyAlignment="1" pivotButton="0" quotePrefix="0" xfId="20">
      <alignment horizontal="general" vertical="top" wrapText="1"/>
    </xf>
    <xf numFmtId="2" fontId="8" fillId="4" borderId="0" applyAlignment="1" pivotButton="0" quotePrefix="0" xfId="20">
      <alignment horizontal="center" vertical="bottom"/>
    </xf>
    <xf numFmtId="0" fontId="8" fillId="4" borderId="0" applyAlignment="1" pivotButton="0" quotePrefix="0" xfId="20">
      <alignment horizontal="center" vertical="bottom"/>
    </xf>
    <xf numFmtId="0" fontId="9" fillId="5" borderId="0" applyAlignment="1" pivotButton="0" quotePrefix="0" xfId="20">
      <alignment horizontal="general" vertical="top" wrapText="1"/>
    </xf>
    <xf numFmtId="0" fontId="6" fillId="0" borderId="0" applyAlignment="1" pivotButton="0" quotePrefix="0" xfId="20">
      <alignment horizontal="general" vertical="bottom" wrapText="1"/>
    </xf>
    <xf numFmtId="164" fontId="10" fillId="6" borderId="0" applyAlignment="1" pivotButton="0" quotePrefix="0" xfId="20">
      <alignment horizontal="center" vertical="bottom"/>
    </xf>
    <xf numFmtId="164" fontId="8" fillId="4" borderId="0" applyAlignment="1" pivotButton="0" quotePrefix="0" xfId="20">
      <alignment horizontal="center" vertical="bottom"/>
    </xf>
    <xf numFmtId="164" fontId="11" fillId="7" borderId="0" applyAlignment="1" pivotButton="0" quotePrefix="0" xfId="20">
      <alignment horizontal="center" vertical="bottom"/>
    </xf>
    <xf numFmtId="0" fontId="6" fillId="0" borderId="0" applyAlignment="1" pivotButton="0" quotePrefix="0" xfId="20">
      <alignment horizontal="general" vertical="bottom" wrapText="1"/>
    </xf>
    <xf numFmtId="165" fontId="10" fillId="6" borderId="0" applyAlignment="1" pivotButton="0" quotePrefix="0" xfId="20">
      <alignment horizontal="center" vertical="bottom"/>
    </xf>
    <xf numFmtId="2" fontId="10" fillId="6" borderId="0" applyAlignment="1" pivotButton="0" quotePrefix="0" xfId="20">
      <alignment horizontal="center" vertical="bottom"/>
    </xf>
    <xf numFmtId="2" fontId="8" fillId="4" borderId="0" applyAlignment="1" pivotButton="0" quotePrefix="0" xfId="20">
      <alignment horizontal="center" vertical="bottom"/>
    </xf>
    <xf numFmtId="2" fontId="11" fillId="7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6" fillId="3" borderId="1" applyAlignment="1" pivotButton="0" quotePrefix="0" xfId="20">
      <alignment horizontal="center" vertical="center" wrapText="1"/>
    </xf>
    <xf numFmtId="0" fontId="12" fillId="3" borderId="2" applyAlignment="1" pivotButton="0" quotePrefix="0" xfId="20">
      <alignment horizontal="center" vertical="center" wrapText="1"/>
    </xf>
    <xf numFmtId="0" fontId="13" fillId="0" borderId="0" applyAlignment="1" pivotButton="0" quotePrefix="0" xfId="20">
      <alignment horizontal="general" vertical="bottom"/>
    </xf>
    <xf numFmtId="164" fontId="7" fillId="2" borderId="1" applyAlignment="1" pivotButton="0" quotePrefix="0" xfId="20">
      <alignment horizontal="center" vertical="center"/>
    </xf>
    <xf numFmtId="0" fontId="13" fillId="0" borderId="1" applyAlignment="1" pivotButton="0" quotePrefix="0" xfId="20">
      <alignment horizontal="center" vertical="center"/>
    </xf>
    <xf numFmtId="164" fontId="10" fillId="8" borderId="1" applyAlignment="1" pivotButton="0" quotePrefix="0" xfId="20">
      <alignment horizontal="center" vertical="center"/>
    </xf>
    <xf numFmtId="164" fontId="11" fillId="5" borderId="1" applyAlignment="1" pivotButton="0" quotePrefix="0" xfId="20">
      <alignment horizontal="center" vertical="center"/>
    </xf>
    <xf numFmtId="164" fontId="10" fillId="5" borderId="1" applyAlignment="1" pivotButton="0" quotePrefix="0" xfId="20">
      <alignment horizontal="center" vertical="center"/>
    </xf>
    <xf numFmtId="0" fontId="4" fillId="9" borderId="1" applyAlignment="1" pivotButton="0" quotePrefix="0" xfId="20">
      <alignment horizontal="left" vertical="center"/>
    </xf>
    <xf numFmtId="164" fontId="4" fillId="0" borderId="0" applyAlignment="1" pivotButton="0" quotePrefix="0" xfId="20">
      <alignment horizontal="general" vertical="bottom"/>
    </xf>
    <xf numFmtId="0" fontId="4" fillId="0" borderId="1" applyAlignment="1" pivotButton="0" quotePrefix="0" xfId="20">
      <alignment horizontal="center" vertical="center"/>
    </xf>
    <xf numFmtId="164" fontId="4" fillId="8" borderId="1" applyAlignment="1" pivotButton="0" quotePrefix="0" xfId="20">
      <alignment horizontal="center" vertical="center"/>
    </xf>
    <xf numFmtId="164" fontId="4" fillId="5" borderId="1" applyAlignment="1" pivotButton="0" quotePrefix="0" xfId="20">
      <alignment horizontal="center" vertical="center"/>
    </xf>
    <xf numFmtId="0" fontId="5" fillId="2" borderId="0" applyAlignment="1" pivotButton="0" quotePrefix="0" xfId="20">
      <alignment horizontal="general" vertical="bottom"/>
    </xf>
    <xf numFmtId="0" fontId="7" fillId="2" borderId="0" applyAlignment="1" pivotButton="0" quotePrefix="0" xfId="20">
      <alignment horizontal="center" vertical="bottom"/>
    </xf>
    <xf numFmtId="165" fontId="4" fillId="6" borderId="0" applyAlignment="1" pivotButton="0" quotePrefix="0" xfId="20">
      <alignment horizontal="general" vertical="bottom"/>
    </xf>
    <xf numFmtId="164" fontId="4" fillId="10" borderId="0" applyAlignment="1" pivotButton="0" quotePrefix="0" xfId="20">
      <alignment horizontal="general" vertical="bottom"/>
    </xf>
    <xf numFmtId="0" fontId="7" fillId="2" borderId="0" applyAlignment="1" pivotButton="0" quotePrefix="0" xfId="20">
      <alignment horizontal="general" vertical="bottom"/>
    </xf>
    <xf numFmtId="0" fontId="4" fillId="3" borderId="0" applyAlignment="1" pivotButton="0" quotePrefix="0" xfId="20">
      <alignment horizontal="general" vertical="bottom"/>
    </xf>
    <xf numFmtId="0" fontId="0" fillId="0" borderId="0" applyAlignment="1" pivotButton="0" quotePrefix="0" xfId="0">
      <alignment horizontal="general" vertical="bottom"/>
    </xf>
    <xf numFmtId="165" fontId="4" fillId="6" borderId="0" applyAlignment="1" pivotButton="0" quotePrefix="0" xfId="20">
      <alignment horizontal="general" vertical="bottom"/>
    </xf>
    <xf numFmtId="164" fontId="4" fillId="10" borderId="0" applyAlignment="1" pivotButton="0" quotePrefix="0" xfId="20">
      <alignment horizontal="general" vertical="bottom"/>
    </xf>
    <xf numFmtId="164" fontId="4" fillId="6" borderId="0" applyAlignment="1" pivotButton="0" quotePrefix="0" xfId="20">
      <alignment horizontal="general" vertical="bottom"/>
    </xf>
    <xf numFmtId="0" fontId="4" fillId="8" borderId="0" applyAlignment="1" pivotButton="0" quotePrefix="0" xfId="20">
      <alignment horizontal="general" vertical="bottom"/>
    </xf>
    <xf numFmtId="0" fontId="4" fillId="3" borderId="0" applyAlignment="1" pivotButton="0" quotePrefix="0" xfId="20">
      <alignment horizontal="general" vertical="bottom"/>
    </xf>
    <xf numFmtId="0" fontId="4" fillId="10" borderId="0" applyAlignment="1" pivotButton="0" quotePrefix="0" xfId="20">
      <alignment horizontal="general" vertical="bottom"/>
    </xf>
    <xf numFmtId="0" fontId="14" fillId="11" borderId="0" pivotButton="0" quotePrefix="0" xfId="0"/>
    <xf numFmtId="0" fontId="15" fillId="1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16" fillId="11" borderId="0" pivotButton="0" quotePrefix="0" xfId="0"/>
    <xf numFmtId="164" fontId="17" fillId="7" borderId="0" applyAlignment="1" pivotButton="0" quotePrefix="0" xfId="20">
      <alignment horizontal="center" vertical="bottom"/>
    </xf>
    <xf numFmtId="164" fontId="17" fillId="10" borderId="0" applyAlignment="1" pivotButton="0" quotePrefix="0" xfId="2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E2F0D9"/>
      <rgbColor rgb="FFE7E6E6"/>
      <rgbColor rgb="FFF3E5F5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omments/comment1.xml><?xml version="1.0" encoding="utf-8"?>
<comments xmlns="http://schemas.openxmlformats.org/spreadsheetml/2006/main">
  <authors>
    <author>OpenAI</author>
  </authors>
  <commentList>
    <comment ref="B5" authorId="0" shapeId="0">
      <text>
        <t>Provisional geoid N used for now. Replace with exact EGM96 N when available.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3" authorId="0" shapeId="0">
      <text>
        <t>Formula: No.1 point elevation = GNSS APC height - antenna height - geoid N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I3" authorId="0" shapeId="0">
      <text>
        <t>Groundwater head = ground point elevation - depth to water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C8" authorId="0" shapeId="0">
      <text>
        <t>Enter rod reading at each point. No.1 rod reading (R1) is used as the reference for all elevations in this section.</t>
      </text>
    </comment>
    <comment ref="D8" authorId="0" shapeId="0">
      <text>
        <t>Formula: Z_i = Z_No1 + (R1 - R_i)</t>
      </text>
    </comment>
    <comment ref="F8" authorId="0" shapeId="0">
      <text>
        <t>Formula: Water surface elevation = point elevation + water depth</t>
      </text>
    </comment>
    <comment ref="H8" authorId="0" shapeId="0">
      <text>
        <t>Assigned subsection width for the mid-section discharge method. Enter half-interval width on each side or your preferred width from field reduction.</t>
      </text>
    </comment>
    <comment ref="J8" authorId="0" shapeId="0">
      <text>
        <t>Formula: subsection discharge = subsection area × velocity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C8" authorId="0" shapeId="0">
      <text>
        <t>Enter rod reading at each point. No.1 rod reading (R1) is used as the reference for all elevations in this section.</t>
      </text>
    </comment>
    <comment ref="D8" authorId="0" shapeId="0">
      <text>
        <t>Formula: Z_i = Z_No1 + (R1 - R_i)</t>
      </text>
    </comment>
    <comment ref="F8" authorId="0" shapeId="0">
      <text>
        <t>Formula: Water surface elevation = point elevation + water depth</t>
      </text>
    </comment>
    <comment ref="H8" authorId="0" shapeId="0">
      <text>
        <t>Assigned subsection width for the mid-section discharge method. Enter half-interval width on each side or your preferred width from field reduction.</t>
      </text>
    </comment>
    <comment ref="J8" authorId="0" shapeId="0">
      <text>
        <t>Formula: subsection discharge = subsection area × velocity</t>
      </text>
    </comment>
  </commentList>
</comments>
</file>

<file path=xl/comments/comment6.xml><?xml version="1.0" encoding="utf-8"?>
<comments xmlns="http://schemas.openxmlformats.org/spreadsheetml/2006/main">
  <authors>
    <author>OpenAI</author>
  </authors>
  <commentList>
    <comment ref="C8" authorId="0" shapeId="0">
      <text>
        <t>Enter rod reading at each point. No.1 rod reading (R1) is used as the reference for all elevations in this section.</t>
      </text>
    </comment>
    <comment ref="D8" authorId="0" shapeId="0">
      <text>
        <t>Formula: Z_i = Z_No1 + (R1 - R_i)</t>
      </text>
    </comment>
    <comment ref="F8" authorId="0" shapeId="0">
      <text>
        <t>Formula: Water surface elevation = point elevation + water depth</t>
      </text>
    </comment>
    <comment ref="H8" authorId="0" shapeId="0">
      <text>
        <t>Assigned subsection width for the mid-section discharge method. Enter half-interval width on each side or your preferred width from field reduction.</t>
      </text>
    </comment>
    <comment ref="J8" authorId="0" shapeId="0">
      <text>
        <t>Formula: subsection discharge = subsection area × velocity</t>
      </text>
    </comment>
  </commentList>
</comments>
</file>

<file path=xl/comments/comment7.xml><?xml version="1.0" encoding="utf-8"?>
<comments xmlns="http://schemas.openxmlformats.org/spreadsheetml/2006/main">
  <authors>
    <author>OpenAI</author>
  </authors>
  <commentList>
    <comment ref="C8" authorId="0" shapeId="0">
      <text>
        <t>Enter rod reading at each point. No.1 rod reading (R1) is used as the reference for all elevations in this section.</t>
      </text>
    </comment>
    <comment ref="D8" authorId="0" shapeId="0">
      <text>
        <t>Formula: Z_i = Z_No1 + (R1 - R_i)</t>
      </text>
    </comment>
    <comment ref="F8" authorId="0" shapeId="0">
      <text>
        <t>Formula: Water surface elevation = point elevation + water depth</t>
      </text>
    </comment>
    <comment ref="H8" authorId="0" shapeId="0">
      <text>
        <t>Assigned subsection width for the mid-section discharge method. Enter half-interval width on each side or your preferred width from field reduction.</t>
      </text>
    </comment>
    <comment ref="J8" authorId="0" shapeId="0">
      <text>
        <t>Formula: subsection discharge = subsection area × velocity</t>
      </text>
    </comment>
  </commentList>
</comments>
</file>

<file path=xl/comments/comment8.xml><?xml version="1.0" encoding="utf-8"?>
<comments xmlns="http://schemas.openxmlformats.org/spreadsheetml/2006/main">
  <authors>
    <author>OpenAI</author>
  </authors>
  <commentList>
    <comment ref="C8" authorId="0" shapeId="0">
      <text>
        <t>Enter rod reading at each point. No.1 rod reading (R1) is used as the reference for all elevations in this section.</t>
      </text>
    </comment>
    <comment ref="D8" authorId="0" shapeId="0">
      <text>
        <t>Formula: Z_i = Z_No1 + (R1 - R_i)</t>
      </text>
    </comment>
    <comment ref="F8" authorId="0" shapeId="0">
      <text>
        <t>Formula: Water surface elevation = point elevation + water depth</t>
      </text>
    </comment>
    <comment ref="H8" authorId="0" shapeId="0">
      <text>
        <t>Assigned subsection width for the mid-section discharge method. Enter half-interval width on each side or your preferred width from field reduction.</t>
      </text>
    </comment>
    <comment ref="J8" authorId="0" shapeId="0">
      <text>
        <t>Formula: subsection discharge = subsection area × velocity</t>
      </text>
    </comment>
  </commentList>
</comments>
</file>

<file path=xl/comments/comment9.xml><?xml version="1.0" encoding="utf-8"?>
<comments xmlns="http://schemas.openxmlformats.org/spreadsheetml/2006/main">
  <authors>
    <author>OpenAI</author>
  </authors>
  <commentList>
    <comment ref="C8" authorId="0" shapeId="0">
      <text>
        <t>Enter rod reading at each point. No.1 rod reading (R1) is used as the reference for all elevations in this section.</t>
      </text>
    </comment>
    <comment ref="D8" authorId="0" shapeId="0">
      <text>
        <t>Formula: Z_i = Z_No1 + (R1 - R_i)</t>
      </text>
    </comment>
    <comment ref="F8" authorId="0" shapeId="0">
      <text>
        <t>Formula: Water surface elevation = point elevation + water depth</t>
      </text>
    </comment>
    <comment ref="H8" authorId="0" shapeId="0">
      <text>
        <t>Assigned subsection width for the mid-section discharge method. Enter half-interval width on each side or your preferred width from field reduction.</t>
      </text>
    </comment>
    <comment ref="J8" authorId="0" shapeId="0">
      <text>
        <t>Formula: subsection discharge = subsection area × velocity</t>
      </text>
    </comment>
  </commentList>
</comments>
</file>

<file path=xl/comments/comment10.xml><?xml version="1.0" encoding="utf-8"?>
<comments xmlns="http://schemas.openxmlformats.org/spreadsheetml/2006/main">
  <authors>
    <author>OpenAI</author>
  </authors>
  <commentList>
    <comment ref="A6" authorId="0" shapeId="0">
      <text>
        <t>FG3 is a spring, not a well. Use discharge and chemistry as supporting evidence.</t>
      </text>
    </comment>
    <comment ref="A7" authorId="0" shapeId="0">
      <text>
        <t>Rename this row once the Lakilaki coastal well coordinates are entered.</t>
      </text>
    </comment>
  </commentList>
</comments>
</file>

<file path=xl/comments/comment11.xml><?xml version="1.0" encoding="utf-8"?>
<comments xmlns="http://schemas.openxmlformats.org/spreadsheetml/2006/main">
  <authors>
    <author>OpenAI</author>
  </authors>
  <commentList>
    <comment ref="C8" authorId="0" shapeId="0">
      <text>
        <t>Enter rod reading at each point. No.1 rod reading (R1) is used as the reference for all elevations in this section.</t>
      </text>
    </comment>
    <comment ref="D8" authorId="0" shapeId="0">
      <text>
        <t>Formula: Z_i = Z_No1 + (R1 - R_i)</t>
      </text>
    </comment>
    <comment ref="F8" authorId="0" shapeId="0">
      <text>
        <t>Formula: Water surface elevation = point elevation + water depth</t>
      </text>
    </comment>
    <comment ref="H8" authorId="0" shapeId="0">
      <text>
        <t>Assigned subsection width for the mid-section discharge method. Enter half-interval width on each side or your preferred width from field reduction.</t>
      </text>
    </comment>
    <comment ref="J8" authorId="0" shapeId="0">
      <text>
        <t>Formula: subsection discharge = subsection area × velocity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2" customWidth="1" style="80" min="1" max="1"/>
    <col width="110" customWidth="1" style="80" min="2" max="2"/>
    <col width="10" customWidth="1" style="80" min="3" max="6"/>
  </cols>
  <sheetData>
    <row r="1" ht="27.75" customHeight="1" s="39">
      <c r="A1" s="40" t="inlineStr">
        <is>
          <t>Fiji Lakilaki Field Survey Template (Cross-sections + Groundwater)</t>
        </is>
      </c>
    </row>
    <row r="2" ht="27.75" customHeight="1" s="39"/>
    <row r="3" ht="27.75" customHeight="1" s="39">
      <c r="A3" s="41" t="inlineStr">
        <is>
          <t>Purpose</t>
        </is>
      </c>
      <c r="B3" s="60" t="inlineStr">
        <is>
          <t>Use this workbook to convert your GNSS + level survey + water depth notes into river stage / bed elevation / groundwater head values for MODFLOW.</t>
        </is>
      </c>
    </row>
    <row r="4" ht="27.75" customHeight="1" s="39">
      <c r="A4" s="41" t="inlineStr">
        <is>
          <t>Current assumption</t>
        </is>
      </c>
      <c r="B4" s="60" t="inlineStr">
        <is>
          <t>EGM96 geoid height is provisionally set to 55.0 m. Replace with accurate site values later in Controls or River_Points/Groundwater.</t>
        </is>
      </c>
    </row>
    <row r="5" ht="27.75" customHeight="1" s="39">
      <c r="A5" s="41" t="inlineStr">
        <is>
          <t>River workflow</t>
        </is>
      </c>
      <c r="B5" s="60" t="inlineStr">
        <is>
          <t>1) Enter rod readings, distances, depths, velocities, and subsection widths on FR2/FR3/FR4. 2) Point elevation is computed from No.1 elevation + (R1 - Ri). 3) Water surface elevation and discharge are computed automatically.</t>
        </is>
      </c>
    </row>
    <row r="6" ht="27.75" customHeight="1" s="39">
      <c r="A6" s="41" t="inlineStr">
        <is>
          <t>Groundwater workflow</t>
        </is>
      </c>
      <c r="B6" s="60" t="inlineStr">
        <is>
          <t>Enter depth-to-water for FG1 and FG2. Groundwater head is computed from GNSS APC height - antenna height - geoid height - depth to water.</t>
        </is>
      </c>
    </row>
    <row r="7" ht="27.75" customHeight="1" s="39">
      <c r="A7" s="41" t="inlineStr">
        <is>
          <t>No.1 interpretation</t>
        </is>
      </c>
      <c r="B7" s="60" t="inlineStr">
        <is>
          <t>No.1 is the surveyed ground point near the river where the GNSS antenna was set. It is the absolute elevation reference for the cross-section.</t>
        </is>
      </c>
    </row>
    <row r="8" ht="27.75" customHeight="1" s="39">
      <c r="A8" s="41" t="inlineStr">
        <is>
          <t>Recommended next step</t>
        </is>
      </c>
      <c r="B8" s="60" t="inlineStr">
        <is>
          <t>After entering rod readings, compare section mean water surface elevation and total discharge on the Summary sheet with the MODFLOW river stage / observed Q.</t>
        </is>
      </c>
    </row>
    <row r="9" ht="27.75" customHeight="1" s="39"/>
    <row r="10" ht="27.75" customHeight="1" s="39"/>
    <row r="11" ht="27.75" customHeight="1" s="39"/>
    <row r="12" ht="27.75" customHeight="1" s="39"/>
    <row r="13" ht="27.75" customHeight="1" s="39"/>
    <row r="14" ht="27.75" customHeight="1" s="39"/>
    <row r="20">
      <c r="A20" s="80" t="inlineStr">
        <is>
          <t>Update note</t>
        </is>
      </c>
      <c r="B20" s="80" t="inlineStr">
        <is>
          <t>Groundwater GNSS screenshots + field chemistry notes added. See Groundwater, Model_GW_Obs, Chemistry_Notes, and GW_Uncertainty.</t>
        </is>
      </c>
    </row>
  </sheetData>
  <mergeCells count="1">
    <mergeCell ref="A1:F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" customWidth="1" style="80" min="1" max="1"/>
    <col width="14" customWidth="1" style="80" min="2" max="2"/>
    <col width="10" customWidth="1" style="80" min="3" max="3"/>
    <col width="12" customWidth="1" style="80" min="4" max="4"/>
    <col width="60" customWidth="1" style="80" min="5" max="5"/>
  </cols>
  <sheetData>
    <row r="1" ht="24" customHeight="1" s="39">
      <c r="A1" s="43" t="inlineStr">
        <is>
          <t>Controls / Assumptions</t>
        </is>
      </c>
      <c r="B1" s="44" t="n"/>
      <c r="C1" s="44" t="n"/>
      <c r="D1" s="44" t="n"/>
      <c r="E1" s="45" t="n"/>
    </row>
    <row r="2" ht="24" customHeight="1" s="39"/>
    <row r="3" ht="24" customHeight="1" s="39">
      <c r="A3" s="46" t="inlineStr">
        <is>
          <t>Item</t>
        </is>
      </c>
      <c r="B3" s="46" t="inlineStr">
        <is>
          <t>Value</t>
        </is>
      </c>
      <c r="C3" s="46" t="inlineStr">
        <is>
          <t>Units</t>
        </is>
      </c>
      <c r="D3" s="46" t="inlineStr">
        <is>
          <t>Role</t>
        </is>
      </c>
      <c r="E3" s="46" t="inlineStr">
        <is>
          <t>Notes</t>
        </is>
      </c>
    </row>
    <row r="4" ht="24" customHeight="1" s="39">
      <c r="A4" s="47" t="inlineStr">
        <is>
          <t>Antenna height</t>
        </is>
      </c>
      <c r="B4" s="58" t="n">
        <v>2.06</v>
      </c>
      <c r="C4" s="47" t="inlineStr">
        <is>
          <t>m</t>
        </is>
      </c>
      <c r="D4" s="49" t="inlineStr">
        <is>
          <t>Input</t>
        </is>
      </c>
      <c r="E4" s="47" t="inlineStr">
        <is>
          <t>Applied to all current GNSS points unless a point-specific value is entered elsewhere.</t>
        </is>
      </c>
    </row>
    <row r="5" ht="24" customHeight="1" s="39">
      <c r="A5" s="47" t="inlineStr">
        <is>
          <t>Default provisional geoid height</t>
        </is>
      </c>
      <c r="B5" s="58" t="n">
        <v>55</v>
      </c>
      <c r="C5" s="47" t="inlineStr">
        <is>
          <t>m</t>
        </is>
      </c>
      <c r="D5" s="49" t="inlineStr">
        <is>
          <t>Input</t>
        </is>
      </c>
      <c r="E5" s="47" t="inlineStr">
        <is>
          <t>Temporary EGM96 approximation for Fiji. Replace with exact site N values later.</t>
        </is>
      </c>
    </row>
    <row r="6" ht="24" customHeight="1" s="39">
      <c r="A6" s="50" t="inlineStr">
        <is>
          <t>Discharge method</t>
        </is>
      </c>
      <c r="B6" s="80" t="inlineStr">
        <is>
          <t>mid-section</t>
        </is>
      </c>
      <c r="C6" s="50" t="n"/>
      <c r="D6" s="50" t="inlineStr">
        <is>
          <t>Static</t>
        </is>
      </c>
      <c r="E6" s="47" t="inlineStr">
        <is>
          <t>Subsection area = assigned width × water depth; subsection Q = area × velocity.</t>
        </is>
      </c>
    </row>
    <row r="7" ht="24" customHeight="1" s="39">
      <c r="A7" s="50" t="inlineStr">
        <is>
          <t>Point elevation formula</t>
        </is>
      </c>
      <c r="B7" s="80" t="inlineStr">
        <is>
          <t>Z_i = Z_No1 + (R1 - Ri)</t>
        </is>
      </c>
      <c r="C7" s="50" t="n"/>
      <c r="D7" s="50" t="inlineStr">
        <is>
          <t>Static</t>
        </is>
      </c>
      <c r="E7" s="47" t="inlineStr">
        <is>
          <t>Larger rod reading means lower elevation.</t>
        </is>
      </c>
    </row>
    <row r="8" ht="24" customHeight="1" s="39">
      <c r="A8" s="50" t="inlineStr">
        <is>
          <t>Groundwater head formula</t>
        </is>
      </c>
      <c r="B8" s="80" t="inlineStr">
        <is>
          <t>Head = h_APC - antenna - geoid - DTW</t>
        </is>
      </c>
      <c r="C8" s="50" t="n"/>
      <c r="D8" s="50" t="inlineStr">
        <is>
          <t>Static</t>
        </is>
      </c>
      <c r="E8" s="47" t="inlineStr">
        <is>
          <t>DTW = depth to water below surveyed point.</t>
        </is>
      </c>
    </row>
    <row r="9" ht="24" customHeight="1" s="39"/>
    <row r="10" ht="24" customHeight="1" s="39"/>
    <row r="11" ht="24" customHeight="1" s="39"/>
  </sheetData>
  <mergeCells count="1">
    <mergeCell ref="A1:E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0" customWidth="1" style="80" min="1" max="1"/>
    <col width="14" customWidth="1" style="80" min="2" max="3"/>
    <col width="16" customWidth="1" style="80" min="4" max="4"/>
    <col width="14" customWidth="1" style="80" min="5" max="5"/>
    <col width="12" customWidth="1" style="80" min="6" max="6"/>
    <col width="16" customWidth="1" style="80" min="7" max="7"/>
    <col width="18" customWidth="1" style="80" min="8" max="8"/>
    <col width="20" customWidth="1" style="80" min="9" max="9"/>
    <col width="24" customWidth="1" style="80" min="10" max="10"/>
    <col width="30" customWidth="1" style="80" min="11" max="11"/>
  </cols>
  <sheetData>
    <row r="1" ht="24" customHeight="1" s="39">
      <c r="A1" s="43" t="inlineStr">
        <is>
          <t>River observation points (GNSS + provisional elevation)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</row>
    <row r="2" ht="24" customHeight="1" s="39"/>
    <row r="3" ht="24" customHeight="1" s="39">
      <c r="A3" s="46" t="inlineStr">
        <is>
          <t>Site</t>
        </is>
      </c>
      <c r="B3" s="46" t="inlineStr">
        <is>
          <t>Lat</t>
        </is>
      </c>
      <c r="C3" s="46" t="inlineStr">
        <is>
          <t>Lon</t>
        </is>
      </c>
      <c r="D3" s="46" t="inlineStr">
        <is>
          <t>GNSS APC h (m)</t>
        </is>
      </c>
      <c r="E3" s="46" t="inlineStr">
        <is>
          <t>Antenna h (m)</t>
        </is>
      </c>
      <c r="F3" s="46" t="inlineStr">
        <is>
          <t>Geoid N (m)</t>
        </is>
      </c>
      <c r="G3" s="46" t="inlineStr">
        <is>
          <t>No.1 point elev (m)</t>
        </is>
      </c>
      <c r="H3" s="46" t="inlineStr">
        <is>
          <t>Approx observed Q (m3/s)</t>
        </is>
      </c>
      <c r="I3" s="46" t="inlineStr">
        <is>
          <t>Use in model</t>
        </is>
      </c>
      <c r="J3" s="46" t="inlineStr">
        <is>
          <t>Notes</t>
        </is>
      </c>
    </row>
    <row r="4" ht="24" customHeight="1" s="39">
      <c r="A4" s="55" t="inlineStr">
        <is>
          <t>FR2</t>
        </is>
      </c>
      <c r="B4" s="52" t="n">
        <v>-17.3803293</v>
      </c>
      <c r="C4" s="52" t="n">
        <v>178.1541107</v>
      </c>
      <c r="D4" s="52" t="n">
        <v>59.9508477</v>
      </c>
      <c r="E4" s="53">
        <f>Controls!B4</f>
        <v/>
      </c>
      <c r="F4" s="53">
        <f>Controls!B5</f>
        <v/>
      </c>
      <c r="G4" s="54">
        <f>D4-E4-F4</f>
        <v/>
      </c>
      <c r="H4" s="52" t="n">
        <v>1.7</v>
      </c>
      <c r="I4" s="60" t="inlineStr">
        <is>
          <t>Cross-section / river stage</t>
        </is>
      </c>
      <c r="J4" s="60" t="inlineStr">
        <is>
          <t>Replace geoid with exact EGM96 N when available.</t>
        </is>
      </c>
    </row>
    <row r="5" ht="24" customHeight="1" s="39">
      <c r="A5" s="55" t="inlineStr">
        <is>
          <t>FR3</t>
        </is>
      </c>
      <c r="B5" s="52" t="n">
        <v>-17.4033547</v>
      </c>
      <c r="C5" s="52" t="n">
        <v>178.1147045</v>
      </c>
      <c r="D5" s="52" t="n">
        <v>82.3519194</v>
      </c>
      <c r="E5" s="53">
        <f>Controls!B4</f>
        <v/>
      </c>
      <c r="F5" s="53">
        <f>Controls!B5</f>
        <v/>
      </c>
      <c r="G5" s="54">
        <f>D5-E5-F5</f>
        <v/>
      </c>
      <c r="H5" s="52" t="n">
        <v>1.3</v>
      </c>
      <c r="I5" s="60" t="inlineStr">
        <is>
          <t>Cross-section / river stage</t>
        </is>
      </c>
      <c r="J5" s="60" t="inlineStr">
        <is>
          <t>Observed Q provisional pending full field-book reduction.</t>
        </is>
      </c>
    </row>
    <row r="6" ht="24" customHeight="1" s="39">
      <c r="A6" s="55" t="inlineStr">
        <is>
          <t>FR4</t>
        </is>
      </c>
      <c r="B6" s="52" t="n">
        <v>-17.3572955</v>
      </c>
      <c r="C6" s="52" t="n">
        <v>178.1824644</v>
      </c>
      <c r="D6" s="52" t="n">
        <v>89.191828</v>
      </c>
      <c r="E6" s="53">
        <f>Controls!B4</f>
        <v/>
      </c>
      <c r="F6" s="53">
        <f>Controls!B5</f>
        <v/>
      </c>
      <c r="G6" s="54">
        <f>D6-E6-F6</f>
        <v/>
      </c>
      <c r="H6" s="52" t="n">
        <v>0.12</v>
      </c>
      <c r="I6" s="60" t="inlineStr">
        <is>
          <t>Cross-section / river stage</t>
        </is>
      </c>
      <c r="J6" s="60" t="inlineStr">
        <is>
          <t>Observed Q provisional pending full field-book reduction.</t>
        </is>
      </c>
    </row>
    <row r="7" ht="24" customHeight="1" s="39">
      <c r="A7" s="55" t="inlineStr">
        <is>
          <t>FR5</t>
        </is>
      </c>
      <c r="B7" s="52" t="n">
        <v>-17.4252996</v>
      </c>
      <c r="C7" s="52" t="n">
        <v>178.0779275</v>
      </c>
      <c r="D7" s="52" t="n">
        <v>167.2800837</v>
      </c>
      <c r="E7" s="53">
        <f>Controls!B4</f>
        <v/>
      </c>
      <c r="F7" s="53">
        <f>Controls!B5</f>
        <v/>
      </c>
      <c r="G7" s="54">
        <f>D7-E7-F7</f>
        <v/>
      </c>
      <c r="H7" s="52" t="n"/>
      <c r="I7" s="60" t="inlineStr">
        <is>
          <t>Upper stream cross-section / river stage</t>
        </is>
      </c>
      <c r="J7" s="60" t="inlineStr">
        <is>
          <t>GNSS captured near upper-village section. Replace geoid with exact EGM96 N later.</t>
        </is>
      </c>
    </row>
    <row r="8" ht="24" customHeight="1" s="39">
      <c r="A8" s="55" t="inlineStr">
        <is>
          <t>FR6</t>
        </is>
      </c>
      <c r="B8" s="52" t="n">
        <v>-17.4211412</v>
      </c>
      <c r="C8" s="52" t="n">
        <v>178.0782976</v>
      </c>
      <c r="D8" s="52" t="n">
        <v>155.9983554</v>
      </c>
      <c r="E8" s="53">
        <f>Controls!B4</f>
        <v/>
      </c>
      <c r="F8" s="53">
        <f>Controls!B5</f>
        <v/>
      </c>
      <c r="G8" s="54">
        <f>D8-E8-F8</f>
        <v/>
      </c>
      <c r="H8" s="52" t="n"/>
      <c r="I8" s="60" t="inlineStr">
        <is>
          <t>Confluence downstream cross-section / river stage</t>
        </is>
      </c>
      <c r="J8" s="60" t="inlineStr">
        <is>
          <t>GNSS captured near confluence section. Replace geoid with exact EGM96 N later.</t>
        </is>
      </c>
    </row>
    <row r="9" ht="24" customHeight="1" s="39">
      <c r="A9" s="55" t="inlineStr">
        <is>
          <t>FR7</t>
        </is>
      </c>
      <c r="B9" s="52" t="n">
        <v>-17.4275448</v>
      </c>
      <c r="C9" s="52" t="n">
        <v>178.0844146</v>
      </c>
      <c r="D9" s="52" t="n">
        <v>171.108299</v>
      </c>
      <c r="E9" s="53">
        <f>Controls!B4</f>
        <v/>
      </c>
      <c r="F9" s="53">
        <f>Controls!B5</f>
        <v/>
      </c>
      <c r="G9" s="54">
        <f>D9-E9-F9</f>
        <v/>
      </c>
      <c r="H9" s="52" t="n">
        <v>0.0226666667</v>
      </c>
      <c r="I9" s="60" t="inlineStr">
        <is>
          <t>Bag method / small split flow</t>
        </is>
      </c>
      <c r="J9" s="60" t="inlineStr">
        <is>
          <t>Two small flows measured by plastic bag; sum of 19.2 and 3.4667 L/s.</t>
        </is>
      </c>
    </row>
    <row r="10" ht="24" customHeight="1" s="39"/>
    <row r="11" ht="24" customHeight="1" s="39"/>
  </sheetData>
  <mergeCells count="1">
    <mergeCell ref="A1:J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0" customWidth="1" style="80" min="1" max="1"/>
    <col width="14" customWidth="1" style="80" min="2" max="3"/>
    <col width="16" customWidth="1" style="80" min="4" max="4"/>
    <col width="14" customWidth="1" style="80" min="5" max="5"/>
    <col width="12" customWidth="1" style="80" min="6" max="6"/>
    <col width="16" customWidth="1" style="80" min="7" max="7"/>
    <col width="18" customWidth="1" style="80" min="8" max="8"/>
    <col width="20" customWidth="1" style="80" min="9" max="9"/>
    <col width="24" customWidth="1" style="80" min="10" max="10"/>
    <col width="30" customWidth="1" style="80" min="11" max="11"/>
  </cols>
  <sheetData>
    <row r="1" ht="24" customHeight="1" s="39">
      <c r="A1" s="43" t="inlineStr">
        <is>
          <t>Groundwater observation points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5" t="n"/>
    </row>
    <row r="2" ht="24" customHeight="1" s="39"/>
    <row r="3" ht="24" customHeight="1" s="39">
      <c r="A3" s="46" t="inlineStr">
        <is>
          <t>Site</t>
        </is>
      </c>
      <c r="B3" s="46" t="inlineStr">
        <is>
          <t>Lat</t>
        </is>
      </c>
      <c r="C3" s="46" t="inlineStr">
        <is>
          <t>Lon</t>
        </is>
      </c>
      <c r="D3" s="46" t="inlineStr">
        <is>
          <t>GNSS APC h (m)</t>
        </is>
      </c>
      <c r="E3" s="46" t="inlineStr">
        <is>
          <t>Antenna h (m)</t>
        </is>
      </c>
      <c r="F3" s="46" t="inlineStr">
        <is>
          <t>Geoid N (m)</t>
        </is>
      </c>
      <c r="G3" s="46" t="inlineStr">
        <is>
          <t>Ground point elev (m)</t>
        </is>
      </c>
      <c r="H3" s="46" t="inlineStr">
        <is>
          <t>Depth to water (m)</t>
        </is>
      </c>
      <c r="I3" s="46" t="inlineStr">
        <is>
          <t>GW head (m)</t>
        </is>
      </c>
      <c r="J3" s="46" t="inlineStr">
        <is>
          <t>Use in model</t>
        </is>
      </c>
      <c r="K3" s="46" t="inlineStr">
        <is>
          <t>Notes</t>
        </is>
      </c>
    </row>
    <row r="4" ht="24" customHeight="1" s="39">
      <c r="A4" s="55" t="inlineStr">
        <is>
          <t>FG1</t>
        </is>
      </c>
      <c r="B4" s="56" t="n">
        <v>-17.3572541</v>
      </c>
      <c r="C4" s="56" t="n">
        <v>178.1827151</v>
      </c>
      <c r="D4" s="57" t="n">
        <v>93.6589464</v>
      </c>
      <c r="E4" s="58">
        <f>Controls!B4</f>
        <v/>
      </c>
      <c r="F4" s="58">
        <f>Controls!B5</f>
        <v/>
      </c>
      <c r="G4" s="59">
        <f>D4-E4-F4</f>
        <v/>
      </c>
      <c r="H4" s="57" t="n">
        <v>2.83</v>
      </c>
      <c r="I4" s="59">
        <f>IF(H4="","",G4-H4)</f>
        <v/>
      </c>
      <c r="J4" s="60" t="inlineStr">
        <is>
          <t>Head calibration point</t>
        </is>
      </c>
      <c r="K4" s="60" t="inlineStr">
        <is>
          <t>Water table depth (GL) written on field sheet. Well depth GL = 5.5 m. pH 6.72; EC 323 µS/cm; ORP 230.1 mV; DO 1.23/2.90 mg/L.</t>
        </is>
      </c>
    </row>
    <row r="5" ht="24" customHeight="1" s="39">
      <c r="A5" s="55" t="inlineStr">
        <is>
          <t>FG2</t>
        </is>
      </c>
      <c r="B5" s="56" t="n">
        <v>-17.3585429</v>
      </c>
      <c r="C5" s="56" t="n">
        <v>178.1875365</v>
      </c>
      <c r="D5" s="57" t="n">
        <v>103.3174539</v>
      </c>
      <c r="E5" s="58">
        <f>Controls!B4</f>
        <v/>
      </c>
      <c r="F5" s="58">
        <f>Controls!B5</f>
        <v/>
      </c>
      <c r="G5" s="59">
        <f>D5-E5-F5</f>
        <v/>
      </c>
      <c r="H5" s="57" t="n"/>
      <c r="I5" s="59">
        <f>IF(H5="","",G5-H5)</f>
        <v/>
      </c>
      <c r="J5" s="60" t="inlineStr">
        <is>
          <t>Potential head calibration point</t>
        </is>
      </c>
      <c r="K5" s="60" t="inlineStr">
        <is>
          <t>Wellhead = 0.45 m written. Sketch shows 2.230 m and 3.4 m, but meaning needs confirmation. pH 7.06; EC 447 µS/cm; ORP 219.9 mV; DO 1.53 mg/L.</t>
        </is>
      </c>
    </row>
    <row r="6" ht="24" customHeight="1" s="39">
      <c r="A6" s="55" t="inlineStr">
        <is>
          <t>FG3</t>
        </is>
      </c>
      <c r="B6" s="56" t="n">
        <v>-17.400438</v>
      </c>
      <c r="C6" s="56" t="n">
        <v>178.2374159</v>
      </c>
      <c r="D6" s="57" t="n">
        <v>97.9730474</v>
      </c>
      <c r="E6" s="58">
        <f>Controls!B4</f>
        <v/>
      </c>
      <c r="F6" s="58">
        <f>Controls!B5</f>
        <v/>
      </c>
      <c r="G6" s="59">
        <f>D6-E6-F6</f>
        <v/>
      </c>
      <c r="H6" s="57" t="n"/>
      <c r="I6" s="59">
        <f>IF(H6="","",G6-H6)</f>
        <v/>
      </c>
      <c r="J6" s="60" t="inlineStr">
        <is>
          <t>Chemistry / spring checkpoint</t>
        </is>
      </c>
      <c r="K6" s="60" t="inlineStr">
        <is>
          <t>Spring / special water point. No head interpretation entered. pH 8.11; EC 297 µS/cm; ORP 219.6 mV; DO 6.30/6.95 mg/L.</t>
        </is>
      </c>
    </row>
    <row r="7" ht="24" customHeight="1" s="39">
      <c r="A7" s="55" t="inlineStr">
        <is>
          <t>FG4</t>
        </is>
      </c>
      <c r="B7" s="56" t="n">
        <v>-17.3351989</v>
      </c>
      <c r="C7" s="56" t="n">
        <v>178.2111752</v>
      </c>
      <c r="D7" s="57" t="n">
        <v>62.2154465</v>
      </c>
      <c r="E7" s="58">
        <f>Controls!B4</f>
        <v/>
      </c>
      <c r="F7" s="58">
        <f>Controls!B5</f>
        <v/>
      </c>
      <c r="G7" s="59">
        <f>D7-E7-F7</f>
        <v/>
      </c>
      <c r="H7" s="57" t="n"/>
      <c r="I7" s="59">
        <f>IF(H7="","",G7-H7)</f>
        <v/>
      </c>
      <c r="J7" s="60" t="inlineStr">
        <is>
          <t>Potential head calibration point</t>
        </is>
      </c>
      <c r="K7" s="60" t="inlineStr">
        <is>
          <t>Wellhead = 0.55 m written. Sketch shows 2.910 m; meaning needs confirmation. pH 7.16; EC 542 µS/cm; ORP 125.9 mV; DO 2.79/7.63 mg/L.</t>
        </is>
      </c>
    </row>
    <row r="8" ht="24" customHeight="1" s="39">
      <c r="A8" s="55" t="inlineStr">
        <is>
          <t>FG5</t>
        </is>
      </c>
      <c r="B8" s="56" t="n">
        <v>-17.3587747</v>
      </c>
      <c r="C8" s="56" t="n">
        <v>178.184851</v>
      </c>
      <c r="D8" s="57" t="n">
        <v>112.7217641</v>
      </c>
      <c r="E8" s="58">
        <f>Controls!B4</f>
        <v/>
      </c>
      <c r="F8" s="58">
        <f>Controls!B5</f>
        <v/>
      </c>
      <c r="G8" s="59">
        <f>D8-E8-F8</f>
        <v/>
      </c>
      <c r="H8" s="57" t="n"/>
      <c r="I8" s="59">
        <f>IF(H8="","",G8-H8)</f>
        <v/>
      </c>
      <c r="J8" s="60" t="inlineStr">
        <is>
          <t>Chemistry / warm-water checkpoint</t>
        </is>
      </c>
      <c r="K8" s="60" t="inlineStr">
        <is>
          <t>Likely warm groundwater / hot spring influenced. pH 6.92; EC 693 µS/cm; ORP 209.6 mV; DO 4.76/7.06 mg/L.</t>
        </is>
      </c>
    </row>
    <row r="9" ht="24" customHeight="1" s="39">
      <c r="A9" s="55" t="inlineStr">
        <is>
          <t>FG6</t>
        </is>
      </c>
      <c r="B9" s="56" t="n">
        <v>-17.4018787</v>
      </c>
      <c r="C9" s="56" t="n">
        <v>178.1379602</v>
      </c>
      <c r="D9" s="57" t="n">
        <v>74.1839825</v>
      </c>
      <c r="E9" s="58">
        <f>Controls!B4</f>
        <v/>
      </c>
      <c r="F9" s="58">
        <f>Controls!B5</f>
        <v/>
      </c>
      <c r="G9" s="59">
        <f>D9-E9-F9</f>
        <v/>
      </c>
      <c r="H9" s="57" t="n"/>
      <c r="I9" s="59">
        <f>IF(H9="","",G9-H9)</f>
        <v/>
      </c>
      <c r="J9" s="60" t="inlineStr">
        <is>
          <t>Chemistry / warm-water checkpoint</t>
        </is>
      </c>
      <c r="K9" s="60" t="inlineStr">
        <is>
          <t>Likely warm groundwater / hot spring influenced. pH 7.65; EC 411 µS/cm; ORP 137.6 mV; DO 1.48/1.93 mg/L.</t>
        </is>
      </c>
    </row>
    <row r="10" ht="24" customHeight="1" s="39">
      <c r="A10" s="55" t="inlineStr">
        <is>
          <t>FG7</t>
        </is>
      </c>
      <c r="B10" s="56" t="n">
        <v>-17.4044221</v>
      </c>
      <c r="C10" s="56" t="n">
        <v>178.1325788</v>
      </c>
      <c r="D10" s="57" t="n">
        <v>89.041398</v>
      </c>
      <c r="E10" s="58">
        <f>Controls!B4</f>
        <v/>
      </c>
      <c r="F10" s="58">
        <f>Controls!B5</f>
        <v/>
      </c>
      <c r="G10" s="59">
        <f>D10-E10-F10</f>
        <v/>
      </c>
      <c r="H10" s="57" t="n"/>
      <c r="I10" s="59">
        <f>IF(H10="","",G10-H10)</f>
        <v/>
      </c>
      <c r="J10" s="60" t="inlineStr">
        <is>
          <t>Potential head calibration point</t>
        </is>
      </c>
      <c r="K10" s="60" t="inlineStr">
        <is>
          <t>Sketch shows wellhead 0.42 m, 5.1 m, and ~7.75 m; interpretation needs confirmation. pH 7.02; EC 249 µS/cm; ORP -4.4 mV; DO 0.40/1.29 mg/L.</t>
        </is>
      </c>
    </row>
    <row r="11" ht="24" customHeight="1" s="39">
      <c r="A11" s="55" t="inlineStr">
        <is>
          <t>FG8</t>
        </is>
      </c>
      <c r="B11" s="56" t="n">
        <v>-17.4008559</v>
      </c>
      <c r="C11" s="56" t="n">
        <v>178.1403109</v>
      </c>
      <c r="D11" s="57" t="n">
        <v>84.5443513</v>
      </c>
      <c r="E11" s="58">
        <f>Controls!B4</f>
        <v/>
      </c>
      <c r="F11" s="58">
        <f>Controls!B5</f>
        <v/>
      </c>
      <c r="G11" s="59">
        <f>D11-E11-F11</f>
        <v/>
      </c>
      <c r="H11" s="57" t="n"/>
      <c r="I11" s="59">
        <f>IF(H11="","",G11-H11)</f>
        <v/>
      </c>
      <c r="J11" s="60" t="inlineStr">
        <is>
          <t>Potential head calibration point</t>
        </is>
      </c>
      <c r="K11" s="60" t="inlineStr">
        <is>
          <t>Sketch shows wellhead 0.40 m, water depth ~4.70 m and well depth ~6.70 m? confirm. pH 6.53; EC 705 µS/cm; ORP 143.9 mV; DO 2.38/2.99 mg/L.</t>
        </is>
      </c>
    </row>
    <row r="12">
      <c r="A12" s="55" t="inlineStr">
        <is>
          <t>FG9</t>
        </is>
      </c>
      <c r="B12" s="56" t="n">
        <v>-17.6471244</v>
      </c>
      <c r="C12" s="56" t="n">
        <v>178.7597226</v>
      </c>
      <c r="D12" s="57" t="n">
        <v>82.62303249999999</v>
      </c>
      <c r="E12" s="58">
        <f>Controls!B4</f>
        <v/>
      </c>
      <c r="F12" s="58">
        <f>Controls!B5</f>
        <v/>
      </c>
      <c r="G12" s="59">
        <f>D12-E12-F12</f>
        <v/>
      </c>
      <c r="H12" s="57" t="n"/>
      <c r="I12" s="59">
        <f>IF(H12="","",G12-H12)</f>
        <v/>
      </c>
      <c r="J12" s="60" t="inlineStr">
        <is>
          <t>Chemistry point</t>
        </is>
      </c>
      <c r="K12" s="60" t="inlineStr">
        <is>
          <t>No water-level data visible on sheet. pH 6.21; EC 193.4 µS/cm; ORP 260.2 mV; DO 4.68/7.51 mg/L.</t>
        </is>
      </c>
    </row>
    <row r="13">
      <c r="A13" s="55" t="inlineStr">
        <is>
          <t>FG10</t>
        </is>
      </c>
      <c r="B13" s="56" t="n"/>
      <c r="C13" s="56" t="n"/>
      <c r="D13" s="57" t="n"/>
      <c r="E13" s="58" t="n"/>
      <c r="F13" s="58" t="n"/>
      <c r="G13" s="59" t="n"/>
      <c r="H13" s="57" t="n"/>
      <c r="I13" s="59" t="n"/>
      <c r="J13" s="60" t="inlineStr">
        <is>
          <t>Chemistry point</t>
        </is>
      </c>
      <c r="K13" s="60" t="inlineStr">
        <is>
          <t>GNSS not yet linked in workbook. pH 7.22; EC 132.8 µS/cm; ORP 103.9 mV; DO entry needs confirmation (written as 10.24/0.24 mg/L).</t>
        </is>
      </c>
    </row>
  </sheetData>
  <mergeCells count="1">
    <mergeCell ref="A1:K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1" customWidth="1" style="80" min="1" max="1"/>
    <col width="18" customWidth="1" style="80" min="2" max="2"/>
    <col width="16" customWidth="1" style="80" min="3" max="3"/>
    <col width="18" customWidth="1" style="80" min="4" max="4"/>
    <col width="14" customWidth="1" style="80" min="5" max="5"/>
    <col width="18" customWidth="1" style="80" min="6" max="6"/>
    <col width="14" customWidth="1" style="80" min="7" max="7"/>
    <col width="16" customWidth="1" style="80" min="8" max="10"/>
    <col width="24" customWidth="1" style="80" min="11" max="11"/>
  </cols>
  <sheetData>
    <row r="1" ht="21.75" customHeight="1" s="39">
      <c r="A1" s="40" t="inlineStr">
        <is>
          <t>FR2 cross-section reduction</t>
        </is>
      </c>
    </row>
    <row r="2" ht="21.75" customHeight="1" s="39"/>
    <row r="3" ht="21.75" customHeight="1" s="39">
      <c r="A3" s="46" t="inlineStr">
        <is>
          <t>Metadata</t>
        </is>
      </c>
      <c r="B3" s="46" t="inlineStr">
        <is>
          <t>Value</t>
        </is>
      </c>
    </row>
    <row r="4" ht="21.75" customHeight="1" s="39">
      <c r="A4" s="46" t="inlineStr">
        <is>
          <t>Site</t>
        </is>
      </c>
      <c r="B4" s="46" t="inlineStr">
        <is>
          <t>FR2</t>
        </is>
      </c>
    </row>
    <row r="5" ht="21.75" customHeight="1" s="39">
      <c r="A5" s="46" t="inlineStr">
        <is>
          <t>No.1 point elevation (m)</t>
        </is>
      </c>
      <c r="B5" s="61">
        <f>River_Points!G4</f>
        <v/>
      </c>
    </row>
    <row r="6" ht="21.75" customHeight="1" s="39">
      <c r="A6" s="46" t="inlineStr">
        <is>
          <t>Approx observed Q target (m3/s)</t>
        </is>
      </c>
      <c r="B6" s="61" t="n">
        <v>1.7</v>
      </c>
    </row>
    <row r="7" ht="21.75" customHeight="1" s="39">
      <c r="A7" s="46" t="inlineStr">
        <is>
          <t>Section mean stage (m)</t>
        </is>
      </c>
      <c r="B7" s="61">
        <f>IF(COUNTA(F10:F40)=0,"",AVERAGE(F10:F40))</f>
        <v/>
      </c>
    </row>
    <row r="8" ht="21.75" customHeight="1" s="39">
      <c r="A8" s="46" t="inlineStr">
        <is>
          <t>Section mean bed elev (m)</t>
        </is>
      </c>
      <c r="B8" s="61">
        <f>IF(COUNTA(D10:D40)=0,"",AVERAGE(D10:D40))</f>
        <v/>
      </c>
      <c r="C8" s="62" t="inlineStr">
        <is>
          <t>Rod reading R (m)</t>
        </is>
      </c>
      <c r="D8" s="62" t="inlineStr">
        <is>
          <t>Point elev Z (m)</t>
        </is>
      </c>
      <c r="E8" s="62" t="inlineStr">
        <is>
          <t>Water depth d (m)</t>
        </is>
      </c>
      <c r="F8" s="62" t="inlineStr">
        <is>
          <t>Water surface elev Zw (m)</t>
        </is>
      </c>
      <c r="G8" s="62" t="inlineStr">
        <is>
          <t>Velocity (m/s)</t>
        </is>
      </c>
      <c r="H8" s="62" t="inlineStr">
        <is>
          <t>Assigned subsection width (m)</t>
        </is>
      </c>
      <c r="I8" s="62" t="inlineStr">
        <is>
          <t>Subsection area (m2)</t>
        </is>
      </c>
      <c r="J8" s="62" t="inlineStr">
        <is>
          <t>Subsection Q (m3/s)</t>
        </is>
      </c>
      <c r="K8" s="62" t="inlineStr">
        <is>
          <t>Notes</t>
        </is>
      </c>
    </row>
    <row r="9" ht="21.75" customHeight="1" s="39">
      <c r="A9" s="46" t="inlineStr">
        <is>
          <t>Computed total Q (m3/s)</t>
        </is>
      </c>
      <c r="B9" s="61">
        <f>IF(COUNTA(J10:J40)=0,"",SUM(J10:J40))</f>
        <v/>
      </c>
      <c r="C9" s="52" t="n"/>
      <c r="D9" s="54">
        <f>IF(C9="","",$B$5+($C$9-C9))</f>
        <v/>
      </c>
      <c r="E9" s="52" t="n"/>
      <c r="F9" s="54">
        <f>IF(OR(D9="",E9=""),"",D9+E9)</f>
        <v/>
      </c>
      <c r="G9" s="52" t="n"/>
      <c r="H9" s="52" t="n"/>
      <c r="I9" s="54">
        <f>IF(OR(E9="",H9=""),"",E9*H9)</f>
        <v/>
      </c>
      <c r="J9" s="54">
        <f>IF(OR(I9="",G9=""),"",I9*G9)</f>
        <v/>
      </c>
      <c r="K9" s="60" t="inlineStr">
        <is>
          <t>GNSS point on ground near river</t>
        </is>
      </c>
    </row>
    <row r="10" ht="21.75" customHeight="1" s="39">
      <c r="A10" s="63" t="inlineStr">
        <is>
          <t>No.2</t>
        </is>
      </c>
      <c r="B10" s="52" t="n">
        <v>5</v>
      </c>
      <c r="C10" s="52" t="n"/>
      <c r="D10" s="54">
        <f>IF(C10="","",$B$5+($C$9-C10))</f>
        <v/>
      </c>
      <c r="E10" s="52" t="n">
        <v>0.5600000000000001</v>
      </c>
      <c r="F10" s="54">
        <f>IF(OR(D10="",E10=""),"",D10+E10)</f>
        <v/>
      </c>
      <c r="G10" s="52" t="n">
        <v>0.32</v>
      </c>
      <c r="H10" s="52" t="n"/>
      <c r="I10" s="54">
        <f>IF(OR(E10="",H10=""),"",E10*H10)</f>
        <v/>
      </c>
      <c r="J10" s="54">
        <f>IF(OR(I10="",G10=""),"",I10*G10)</f>
        <v/>
      </c>
      <c r="K10" s="60" t="n"/>
    </row>
    <row r="11" ht="21.75" customHeight="1" s="39">
      <c r="A11" s="43" t="inlineStr">
        <is>
          <t>Point</t>
        </is>
      </c>
      <c r="B11" s="64" t="inlineStr">
        <is>
          <t>Distance from No.1 (m)</t>
        </is>
      </c>
      <c r="C11" s="64" t="inlineStr">
        <is>
          <t>Rod reading R (m)</t>
        </is>
      </c>
      <c r="D11" s="64" t="inlineStr">
        <is>
          <t>Point/bed elev Z (m)</t>
        </is>
      </c>
      <c r="E11" s="64" t="inlineStr">
        <is>
          <t>Water depth d (m)</t>
        </is>
      </c>
      <c r="F11" s="64" t="inlineStr">
        <is>
          <t>Water surface elev Zw (m)</t>
        </is>
      </c>
      <c r="G11" s="64" t="inlineStr">
        <is>
          <t>Velocity (m/s)</t>
        </is>
      </c>
      <c r="H11" s="64" t="inlineStr">
        <is>
          <t>Mid-section width (m)</t>
        </is>
      </c>
      <c r="I11" s="64" t="inlineStr">
        <is>
          <t>Subsection area (m2)</t>
        </is>
      </c>
      <c r="J11" s="64" t="inlineStr">
        <is>
          <t>Subsection Q (m3/s)</t>
        </is>
      </c>
      <c r="K11" s="43" t="inlineStr">
        <is>
          <t>Notes</t>
        </is>
      </c>
    </row>
    <row r="12" ht="21.75" customHeight="1" s="39">
      <c r="A12" s="65" t="inlineStr">
        <is>
          <t>No.1</t>
        </is>
      </c>
      <c r="B12" s="66" t="n">
        <v>0</v>
      </c>
      <c r="C12" s="66" t="n">
        <v>1.228</v>
      </c>
      <c r="D12" s="67">
        <f>IF(C12="","",$B$5+($C$12-C12))</f>
        <v/>
      </c>
      <c r="E12" s="66" t="n"/>
      <c r="F12" s="67">
        <f>IF(OR(D12="",E12=""),"",D12+E12)</f>
        <v/>
      </c>
      <c r="G12" s="66" t="n"/>
      <c r="H12" s="68">
        <f>IF(B13="","",B13/2)</f>
        <v/>
      </c>
      <c r="I12" s="67">
        <f>IF(OR(E12="",H12=""),"",E12*H12)</f>
        <v/>
      </c>
      <c r="J12" s="67">
        <f>IF(OR(I12="",G12=""),"",I12*G12)</f>
        <v/>
      </c>
      <c r="K12" s="69" t="inlineStr">
        <is>
          <t>GNSS point on ground near river</t>
        </is>
      </c>
    </row>
    <row r="13" ht="21.75" customHeight="1" s="39">
      <c r="A13" s="65" t="inlineStr">
        <is>
          <t>No.2</t>
        </is>
      </c>
      <c r="B13" s="66" t="n">
        <v>5</v>
      </c>
      <c r="C13" s="66" t="n">
        <v>1.835</v>
      </c>
      <c r="D13" s="67">
        <f>IF(C13="","",$B$5+($C$12-C13))</f>
        <v/>
      </c>
      <c r="E13" s="66" t="n">
        <v>0.5600000000000001</v>
      </c>
      <c r="F13" s="67">
        <f>IF(OR(D13="",E13=""),"",D13+E13)</f>
        <v/>
      </c>
      <c r="G13" s="66" t="n">
        <v>0.32</v>
      </c>
      <c r="H13" s="68">
        <f>IF(OR(B14="",B12=""),"", (B14-B12)/2)</f>
        <v/>
      </c>
      <c r="I13" s="67">
        <f>IF(OR(E13="",H13=""),"",E13*H13)</f>
        <v/>
      </c>
      <c r="J13" s="67">
        <f>IF(OR(I13="",G13=""),"",I13*G13)</f>
        <v/>
      </c>
      <c r="K13" s="69" t="inlineStr">
        <is>
          <t>Rod readings transcribed from field notebook photo.</t>
        </is>
      </c>
    </row>
    <row r="14" ht="21.75" customHeight="1" s="39">
      <c r="A14" s="65" t="inlineStr">
        <is>
          <t>No.3</t>
        </is>
      </c>
      <c r="B14" s="66" t="n">
        <v>10</v>
      </c>
      <c r="C14" s="66" t="n">
        <v>1.655</v>
      </c>
      <c r="D14" s="67">
        <f>IF(C14="","",$B$5+($C$12-C14))</f>
        <v/>
      </c>
      <c r="E14" s="66" t="n">
        <v>0.37</v>
      </c>
      <c r="F14" s="67">
        <f>IF(OR(D14="",E14=""),"",D14+E14)</f>
        <v/>
      </c>
      <c r="G14" s="66" t="n">
        <v>0.32</v>
      </c>
      <c r="H14" s="68">
        <f>IF(OR(B15="",B13=""),"", (B15-B13)/2)</f>
        <v/>
      </c>
      <c r="I14" s="67">
        <f>IF(OR(E14="",H14=""),"",E14*H14)</f>
        <v/>
      </c>
      <c r="J14" s="67">
        <f>IF(OR(I14="",G14=""),"",I14*G14)</f>
        <v/>
      </c>
      <c r="K14" s="69" t="n"/>
    </row>
    <row r="15" ht="21.75" customHeight="1" s="39">
      <c r="A15" s="65" t="inlineStr">
        <is>
          <t>No.4</t>
        </is>
      </c>
      <c r="B15" s="66" t="n">
        <v>16.5</v>
      </c>
      <c r="C15" s="66" t="n">
        <v>1.95</v>
      </c>
      <c r="D15" s="67">
        <f>IF(C15="","",$B$5+($C$12-C15))</f>
        <v/>
      </c>
      <c r="E15" s="66" t="n">
        <v>0.15</v>
      </c>
      <c r="F15" s="67">
        <f>IF(OR(D15="",E15=""),"",D15+E15)</f>
        <v/>
      </c>
      <c r="G15" s="66" t="n">
        <v>0.356</v>
      </c>
      <c r="H15" s="68">
        <f>IF(OR(B15="",B14=""),"", (B15-B14)/2)</f>
        <v/>
      </c>
      <c r="I15" s="67">
        <f>IF(OR(E15="",H15=""),"",E15*H15)</f>
        <v/>
      </c>
      <c r="J15" s="67">
        <f>IF(OR(I15="",G15=""),"",I15*G15)</f>
        <v/>
      </c>
      <c r="K15" s="69" t="inlineStr">
        <is>
          <t>No.4 distance updated to 16.5 m based on note.</t>
        </is>
      </c>
    </row>
    <row r="16" ht="21.75" customHeight="1" s="39">
      <c r="A16" s="63" t="n"/>
      <c r="B16" s="52" t="n"/>
      <c r="C16" s="52" t="n"/>
      <c r="D16" s="54" t="n"/>
      <c r="E16" s="52" t="n"/>
      <c r="F16" s="54" t="n"/>
      <c r="G16" s="52" t="n"/>
      <c r="H16" s="52" t="n"/>
      <c r="I16" s="54" t="n"/>
      <c r="J16" s="54" t="n"/>
      <c r="K16" s="60" t="n"/>
    </row>
    <row r="17" ht="21.75" customHeight="1" s="39">
      <c r="B17" s="70" t="n"/>
      <c r="C17" s="70" t="n"/>
      <c r="D17" s="70" t="n"/>
      <c r="E17" s="70" t="n"/>
      <c r="F17" s="70" t="n"/>
      <c r="G17" s="70" t="n"/>
      <c r="H17" s="70" t="n"/>
      <c r="I17" s="70" t="n"/>
      <c r="J17" s="70" t="n"/>
    </row>
    <row r="18" ht="21.75" customHeight="1" s="39">
      <c r="B18" s="70" t="n"/>
      <c r="C18" s="70" t="n"/>
      <c r="D18" s="70" t="n"/>
      <c r="E18" s="70" t="n"/>
      <c r="F18" s="70" t="n"/>
      <c r="G18" s="70" t="n"/>
      <c r="H18" s="70" t="n"/>
      <c r="I18" s="70" t="n"/>
      <c r="J18" s="70" t="n"/>
    </row>
    <row r="19" ht="21.75" customHeight="1" s="39">
      <c r="B19" s="70" t="n"/>
      <c r="C19" s="70" t="n"/>
      <c r="D19" s="70" t="n"/>
      <c r="E19" s="70" t="n"/>
      <c r="F19" s="70" t="n"/>
      <c r="G19" s="70" t="n"/>
      <c r="H19" s="70" t="n"/>
      <c r="I19" s="70" t="n"/>
      <c r="J19" s="70" t="n"/>
    </row>
    <row r="20" ht="21.75" customHeight="1" s="39">
      <c r="B20" s="70" t="n"/>
      <c r="C20" s="70" t="n"/>
      <c r="D20" s="70" t="n"/>
      <c r="E20" s="70" t="n"/>
      <c r="F20" s="70" t="n"/>
      <c r="G20" s="70" t="n"/>
      <c r="H20" s="70" t="n"/>
      <c r="I20" s="70" t="n"/>
      <c r="J20" s="70" t="n"/>
    </row>
    <row r="21" ht="21.75" customHeight="1" s="39">
      <c r="B21" s="70" t="n"/>
      <c r="C21" s="70" t="n"/>
      <c r="D21" s="70" t="n"/>
      <c r="E21" s="70" t="n"/>
      <c r="F21" s="70" t="n"/>
      <c r="G21" s="70" t="n"/>
      <c r="H21" s="70" t="n"/>
      <c r="I21" s="70" t="n"/>
      <c r="J21" s="70" t="n"/>
    </row>
    <row r="22" ht="21.75" customHeight="1" s="39">
      <c r="B22" s="70" t="n"/>
      <c r="C22" s="70" t="n"/>
      <c r="D22" s="70" t="n"/>
      <c r="E22" s="70" t="n"/>
      <c r="F22" s="70" t="n"/>
      <c r="G22" s="70" t="n"/>
      <c r="H22" s="70" t="n"/>
      <c r="I22" s="70" t="n"/>
      <c r="J22" s="70" t="n"/>
    </row>
    <row r="23" ht="21.75" customHeight="1" s="39">
      <c r="B23" s="70" t="n"/>
      <c r="C23" s="70" t="n"/>
      <c r="D23" s="70" t="n"/>
      <c r="E23" s="70" t="n"/>
      <c r="F23" s="70" t="n"/>
      <c r="G23" s="70" t="n"/>
      <c r="H23" s="70" t="n"/>
      <c r="I23" s="70" t="n"/>
      <c r="J23" s="70" t="n"/>
    </row>
    <row r="24" ht="21.75" customHeight="1" s="39">
      <c r="B24" s="70" t="n"/>
      <c r="C24" s="70" t="n"/>
      <c r="D24" s="70" t="n"/>
      <c r="E24" s="70" t="n"/>
      <c r="F24" s="70" t="n"/>
      <c r="G24" s="70" t="n"/>
      <c r="H24" s="70" t="n"/>
      <c r="I24" s="70" t="n"/>
      <c r="J24" s="70" t="n"/>
    </row>
    <row r="25" ht="21.75" customHeight="1" s="39">
      <c r="B25" s="70" t="n"/>
      <c r="C25" s="70" t="n"/>
      <c r="D25" s="70" t="n"/>
      <c r="E25" s="70" t="n"/>
      <c r="F25" s="70" t="n"/>
      <c r="G25" s="70" t="n"/>
      <c r="H25" s="70" t="n"/>
      <c r="I25" s="70" t="n"/>
      <c r="J25" s="70" t="n"/>
    </row>
    <row r="26" ht="21.75" customHeight="1" s="39">
      <c r="B26" s="70" t="n"/>
      <c r="C26" s="70" t="n"/>
      <c r="D26" s="70" t="n"/>
      <c r="E26" s="70" t="n"/>
      <c r="F26" s="70" t="n"/>
      <c r="G26" s="70" t="n"/>
      <c r="H26" s="70" t="n"/>
      <c r="I26" s="70" t="n"/>
      <c r="J26" s="70" t="n"/>
    </row>
    <row r="27" ht="21.75" customHeight="1" s="39">
      <c r="B27" s="70" t="n"/>
      <c r="C27" s="70" t="n"/>
      <c r="D27" s="70" t="n"/>
      <c r="E27" s="70" t="n"/>
      <c r="F27" s="70" t="n"/>
      <c r="G27" s="70" t="n"/>
      <c r="H27" s="70" t="n"/>
      <c r="I27" s="70" t="n"/>
      <c r="J27" s="70" t="n"/>
    </row>
    <row r="28" ht="21.75" customHeight="1" s="39">
      <c r="B28" s="70" t="n"/>
      <c r="C28" s="70" t="n"/>
      <c r="D28" s="70" t="n"/>
      <c r="E28" s="70" t="n"/>
      <c r="F28" s="70" t="n"/>
      <c r="G28" s="70" t="n"/>
      <c r="H28" s="70" t="n"/>
      <c r="I28" s="70" t="n"/>
      <c r="J28" s="70" t="n"/>
    </row>
    <row r="29" ht="21.75" customHeight="1" s="39">
      <c r="B29" s="70" t="n"/>
      <c r="C29" s="70" t="n"/>
      <c r="D29" s="70" t="n"/>
      <c r="E29" s="70" t="n"/>
      <c r="F29" s="70" t="n"/>
      <c r="G29" s="70" t="n"/>
      <c r="H29" s="70" t="n"/>
      <c r="I29" s="70" t="n"/>
      <c r="J29" s="70" t="n"/>
    </row>
    <row r="30" ht="21.75" customHeight="1" s="39">
      <c r="B30" s="70" t="n"/>
      <c r="C30" s="70" t="n"/>
      <c r="D30" s="70" t="n"/>
      <c r="E30" s="70" t="n"/>
      <c r="F30" s="70" t="n"/>
      <c r="G30" s="70" t="n"/>
      <c r="H30" s="70" t="n"/>
      <c r="I30" s="70" t="n"/>
      <c r="J30" s="70" t="n"/>
    </row>
    <row r="31" ht="21.75" customHeight="1" s="39">
      <c r="B31" s="70" t="n"/>
      <c r="C31" s="70" t="n"/>
      <c r="D31" s="70" t="n"/>
      <c r="E31" s="70" t="n"/>
      <c r="F31" s="70" t="n"/>
      <c r="G31" s="70" t="n"/>
      <c r="H31" s="70" t="n"/>
      <c r="I31" s="70" t="n"/>
      <c r="J31" s="70" t="n"/>
    </row>
    <row r="32" ht="21.75" customHeight="1" s="39">
      <c r="B32" s="70" t="n"/>
      <c r="C32" s="70" t="n"/>
      <c r="D32" s="70" t="n"/>
      <c r="E32" s="70" t="n"/>
      <c r="F32" s="70" t="n"/>
      <c r="G32" s="70" t="n"/>
      <c r="H32" s="70" t="n"/>
      <c r="I32" s="70" t="n"/>
      <c r="J32" s="70" t="n"/>
    </row>
    <row r="33" ht="21.75" customHeight="1" s="39">
      <c r="B33" s="70" t="n"/>
      <c r="C33" s="70" t="n"/>
      <c r="D33" s="70" t="n"/>
      <c r="E33" s="70" t="n"/>
      <c r="F33" s="70" t="n"/>
      <c r="G33" s="70" t="n"/>
      <c r="H33" s="70" t="n"/>
      <c r="I33" s="70" t="n"/>
      <c r="J33" s="70" t="n"/>
    </row>
    <row r="34" ht="21.75" customHeight="1" s="39">
      <c r="B34" s="70" t="n"/>
      <c r="C34" s="70" t="n"/>
      <c r="D34" s="70" t="n"/>
      <c r="E34" s="70" t="n"/>
      <c r="F34" s="70" t="n"/>
      <c r="G34" s="70" t="n"/>
      <c r="H34" s="70" t="n"/>
      <c r="I34" s="70" t="n"/>
      <c r="J34" s="70" t="n"/>
    </row>
    <row r="35" ht="21.75" customHeight="1" s="39">
      <c r="B35" s="70" t="n"/>
      <c r="C35" s="70" t="n"/>
      <c r="D35" s="70" t="n"/>
      <c r="E35" s="70" t="n"/>
      <c r="F35" s="70" t="n"/>
      <c r="G35" s="70" t="n"/>
      <c r="H35" s="70" t="n"/>
      <c r="I35" s="70" t="n"/>
      <c r="J35" s="70" t="n"/>
    </row>
    <row r="36" ht="21.75" customHeight="1" s="39">
      <c r="B36" s="70" t="n"/>
      <c r="C36" s="70" t="n"/>
      <c r="D36" s="70" t="n"/>
      <c r="E36" s="70" t="n"/>
      <c r="F36" s="70" t="n"/>
      <c r="G36" s="70" t="n"/>
      <c r="H36" s="70" t="n"/>
      <c r="I36" s="70" t="n"/>
      <c r="J36" s="70" t="n"/>
    </row>
    <row r="37" ht="21.75" customHeight="1" s="39">
      <c r="B37" s="70" t="n"/>
      <c r="C37" s="70" t="n"/>
      <c r="D37" s="70" t="n"/>
      <c r="E37" s="70" t="n"/>
      <c r="F37" s="70" t="n"/>
      <c r="G37" s="70" t="n"/>
      <c r="H37" s="70" t="n"/>
      <c r="I37" s="70" t="n"/>
      <c r="J37" s="70" t="n"/>
    </row>
    <row r="38" ht="21.75" customHeight="1" s="39">
      <c r="B38" s="70" t="n"/>
      <c r="C38" s="70" t="n"/>
      <c r="D38" s="70" t="n"/>
      <c r="E38" s="70" t="n"/>
      <c r="F38" s="70" t="n"/>
      <c r="G38" s="70" t="n"/>
      <c r="H38" s="70" t="n"/>
      <c r="I38" s="70" t="n"/>
      <c r="J38" s="70" t="n"/>
    </row>
    <row r="39" ht="21.75" customHeight="1" s="39">
      <c r="B39" s="70" t="n"/>
      <c r="C39" s="70" t="n"/>
      <c r="D39" s="70" t="n"/>
      <c r="E39" s="70" t="n"/>
      <c r="F39" s="70" t="n"/>
      <c r="G39" s="70" t="n"/>
      <c r="H39" s="70" t="n"/>
      <c r="I39" s="70" t="n"/>
      <c r="J39" s="70" t="n"/>
    </row>
    <row r="40" ht="21.75" customHeight="1" s="39"/>
    <row r="41" ht="21.75" customHeight="1" s="39"/>
    <row r="42" ht="21.75" customHeight="1" s="39"/>
    <row r="43" ht="21.75" customHeight="1" s="39"/>
    <row r="44" ht="21.75" customHeight="1" s="39"/>
  </sheetData>
  <mergeCells count="1">
    <mergeCell ref="A1:K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1" customWidth="1" style="80" min="1" max="1"/>
    <col width="18" customWidth="1" style="80" min="2" max="2"/>
    <col width="16" customWidth="1" style="80" min="3" max="3"/>
    <col width="18" customWidth="1" style="80" min="4" max="4"/>
    <col width="14" customWidth="1" style="80" min="5" max="5"/>
    <col width="18" customWidth="1" style="80" min="6" max="6"/>
    <col width="14" customWidth="1" style="80" min="7" max="7"/>
    <col width="16" customWidth="1" style="80" min="8" max="10"/>
    <col width="24" customWidth="1" style="80" min="11" max="11"/>
  </cols>
  <sheetData>
    <row r="1" ht="21.75" customHeight="1" s="39">
      <c r="A1" s="40" t="inlineStr">
        <is>
          <t>FR3 cross-section reduction</t>
        </is>
      </c>
    </row>
    <row r="2" ht="21.75" customHeight="1" s="39"/>
    <row r="3" ht="21.75" customHeight="1" s="39">
      <c r="A3" s="46" t="inlineStr">
        <is>
          <t>Metadata</t>
        </is>
      </c>
      <c r="B3" s="46" t="inlineStr">
        <is>
          <t>Value</t>
        </is>
      </c>
    </row>
    <row r="4" ht="21.75" customHeight="1" s="39">
      <c r="A4" s="46" t="inlineStr">
        <is>
          <t>Site</t>
        </is>
      </c>
      <c r="B4" s="46" t="inlineStr">
        <is>
          <t>FR3</t>
        </is>
      </c>
    </row>
    <row r="5" ht="21.75" customHeight="1" s="39">
      <c r="A5" s="46" t="inlineStr">
        <is>
          <t>No.1 point elevation (m)</t>
        </is>
      </c>
      <c r="B5" s="61">
        <f>River_Points!G5</f>
        <v/>
      </c>
    </row>
    <row r="6" ht="21.75" customHeight="1" s="39">
      <c r="A6" s="46" t="inlineStr">
        <is>
          <t>Approx observed Q target (m3/s)</t>
        </is>
      </c>
      <c r="B6" s="61" t="n">
        <v>1.3</v>
      </c>
    </row>
    <row r="7" ht="21.75" customHeight="1" s="39">
      <c r="A7" s="46" t="inlineStr">
        <is>
          <t>Section mean stage (m)</t>
        </is>
      </c>
      <c r="B7" s="61">
        <f>IF(COUNTA(F10:F40)=0,"",AVERAGE(F10:F40))</f>
        <v/>
      </c>
    </row>
    <row r="8" ht="21.75" customHeight="1" s="39">
      <c r="A8" s="46" t="inlineStr">
        <is>
          <t>Section mean bed elev (m)</t>
        </is>
      </c>
      <c r="B8" s="61">
        <f>IF(COUNTA(D10:D40)=0,"",AVERAGE(D10:D40))</f>
        <v/>
      </c>
      <c r="C8" s="62" t="inlineStr">
        <is>
          <t>Rod reading R (m)</t>
        </is>
      </c>
      <c r="D8" s="62" t="inlineStr">
        <is>
          <t>Point elev Z (m)</t>
        </is>
      </c>
      <c r="E8" s="62" t="inlineStr">
        <is>
          <t>Water depth d (m)</t>
        </is>
      </c>
      <c r="F8" s="62" t="inlineStr">
        <is>
          <t>Water surface elev Zw (m)</t>
        </is>
      </c>
      <c r="G8" s="62" t="inlineStr">
        <is>
          <t>Velocity (m/s)</t>
        </is>
      </c>
      <c r="H8" s="62" t="inlineStr">
        <is>
          <t>Assigned subsection width (m)</t>
        </is>
      </c>
      <c r="I8" s="62" t="inlineStr">
        <is>
          <t>Subsection area (m2)</t>
        </is>
      </c>
      <c r="J8" s="62" t="inlineStr">
        <is>
          <t>Subsection Q (m3/s)</t>
        </is>
      </c>
      <c r="K8" s="62" t="inlineStr">
        <is>
          <t>Notes</t>
        </is>
      </c>
    </row>
    <row r="9" ht="21.75" customHeight="1" s="39">
      <c r="A9" s="46" t="inlineStr">
        <is>
          <t>Computed total Q (m3/s)</t>
        </is>
      </c>
      <c r="B9" s="61">
        <f>IF(COUNTA(J10:J40)=0,"",SUM(J10:J40))</f>
        <v/>
      </c>
      <c r="C9" s="52" t="n"/>
      <c r="D9" s="54">
        <f>IF(C9="","",$B$5+($C$9-C9))</f>
        <v/>
      </c>
      <c r="E9" s="52" t="n"/>
      <c r="F9" s="54">
        <f>IF(OR(D9="",E9=""),"",D9+E9)</f>
        <v/>
      </c>
      <c r="G9" s="52" t="n"/>
      <c r="H9" s="52" t="n"/>
      <c r="I9" s="54">
        <f>IF(OR(E9="",H9=""),"",E9*H9)</f>
        <v/>
      </c>
      <c r="J9" s="54">
        <f>IF(OR(I9="",G9=""),"",I9*G9)</f>
        <v/>
      </c>
      <c r="K9" s="60" t="inlineStr">
        <is>
          <t>GNSS point on ground near river</t>
        </is>
      </c>
    </row>
    <row r="10" ht="21.75" customHeight="1" s="39">
      <c r="A10" s="63" t="inlineStr">
        <is>
          <t>No.2</t>
        </is>
      </c>
      <c r="B10" s="52" t="n">
        <v>4.3</v>
      </c>
      <c r="C10" s="52" t="n"/>
      <c r="D10" s="54">
        <f>IF(C10="","",$B$5+($C$9-C10))</f>
        <v/>
      </c>
      <c r="E10" s="52" t="n">
        <v>0.36</v>
      </c>
      <c r="F10" s="54">
        <f>IF(OR(D10="",E10=""),"",D10+E10)</f>
        <v/>
      </c>
      <c r="G10" s="52" t="n">
        <v>0.04</v>
      </c>
      <c r="H10" s="52" t="n"/>
      <c r="I10" s="54">
        <f>IF(OR(E10="",H10=""),"",E10*H10)</f>
        <v/>
      </c>
      <c r="J10" s="54">
        <f>IF(OR(I10="",G10=""),"",I10*G10)</f>
        <v/>
      </c>
      <c r="K10" s="60" t="n"/>
    </row>
    <row r="11" ht="21.75" customHeight="1" s="39">
      <c r="A11" s="43" t="inlineStr">
        <is>
          <t>Point</t>
        </is>
      </c>
      <c r="B11" s="64" t="inlineStr">
        <is>
          <t>Distance from No.1 (m)</t>
        </is>
      </c>
      <c r="C11" s="64" t="inlineStr">
        <is>
          <t>Rod reading R (m)</t>
        </is>
      </c>
      <c r="D11" s="64" t="inlineStr">
        <is>
          <t>Point/bed elev Z (m)</t>
        </is>
      </c>
      <c r="E11" s="64" t="inlineStr">
        <is>
          <t>Water depth d (m)</t>
        </is>
      </c>
      <c r="F11" s="64" t="inlineStr">
        <is>
          <t>Water surface elev Zw (m)</t>
        </is>
      </c>
      <c r="G11" s="64" t="inlineStr">
        <is>
          <t>Velocity (m/s)</t>
        </is>
      </c>
      <c r="H11" s="64" t="inlineStr">
        <is>
          <t>Mid-section width (m)</t>
        </is>
      </c>
      <c r="I11" s="64" t="inlineStr">
        <is>
          <t>Subsection area (m2)</t>
        </is>
      </c>
      <c r="J11" s="64" t="inlineStr">
        <is>
          <t>Subsection Q (m3/s)</t>
        </is>
      </c>
      <c r="K11" s="43" t="inlineStr">
        <is>
          <t>Notes</t>
        </is>
      </c>
    </row>
    <row r="12" ht="21.75" customHeight="1" s="39">
      <c r="A12" s="65" t="inlineStr">
        <is>
          <t>No.1</t>
        </is>
      </c>
      <c r="B12" s="66" t="n">
        <v>0</v>
      </c>
      <c r="C12" s="66" t="n">
        <v>1.607</v>
      </c>
      <c r="D12" s="67">
        <f>IF(C12="","",$B$5+($C$12-C12))</f>
        <v/>
      </c>
      <c r="E12" s="66" t="n"/>
      <c r="F12" s="67">
        <f>IF(OR(D12="",E12=""),"",D12+E12)</f>
        <v/>
      </c>
      <c r="G12" s="66" t="n"/>
      <c r="H12" s="68">
        <f>IF(B13="","",B13/2)</f>
        <v/>
      </c>
      <c r="I12" s="67">
        <f>IF(OR(E12="",H12=""),"",E12*H12)</f>
        <v/>
      </c>
      <c r="J12" s="67">
        <f>IF(OR(I12="",G12=""),"",I12*G12)</f>
        <v/>
      </c>
      <c r="K12" s="69" t="inlineStr">
        <is>
          <t>GNSS point on ground near river</t>
        </is>
      </c>
    </row>
    <row r="13" ht="21.75" customHeight="1" s="39">
      <c r="A13" s="65" t="inlineStr">
        <is>
          <t>No.2</t>
        </is>
      </c>
      <c r="B13" s="66" t="n">
        <v>4.3</v>
      </c>
      <c r="C13" s="66" t="n">
        <v>1.99</v>
      </c>
      <c r="D13" s="67">
        <f>IF(C13="","",$B$5+($C$12-C13))</f>
        <v/>
      </c>
      <c r="E13" s="66" t="n">
        <v>0.36</v>
      </c>
      <c r="F13" s="67">
        <f>IF(OR(D13="",E13=""),"",D13+E13)</f>
        <v/>
      </c>
      <c r="G13" s="66" t="n">
        <v>0.04</v>
      </c>
      <c r="H13" s="68">
        <f>IF(OR(B14="",B12=""),"", (B14-B12)/2)</f>
        <v/>
      </c>
      <c r="I13" s="67">
        <f>IF(OR(E13="",H13=""),"",E13*H13)</f>
        <v/>
      </c>
      <c r="J13" s="67">
        <f>IF(OR(I13="",G13=""),"",I13*G13)</f>
        <v/>
      </c>
      <c r="K13" s="69" t="inlineStr">
        <is>
          <t>Rod readings transcribed from field notebook photo.</t>
        </is>
      </c>
    </row>
    <row r="14" ht="21.75" customHeight="1" s="39">
      <c r="A14" s="65" t="inlineStr">
        <is>
          <t>No.3</t>
        </is>
      </c>
      <c r="B14" s="66" t="n">
        <v>7.3</v>
      </c>
      <c r="C14" s="66" t="n">
        <v>2.164</v>
      </c>
      <c r="D14" s="67">
        <f>IF(C14="","",$B$5+($C$12-C14))</f>
        <v/>
      </c>
      <c r="E14" s="66" t="n">
        <v>0.55</v>
      </c>
      <c r="F14" s="67">
        <f>IF(OR(D14="",E14=""),"",D14+E14)</f>
        <v/>
      </c>
      <c r="G14" s="66" t="n">
        <v>0.58</v>
      </c>
      <c r="H14" s="68">
        <f>IF(OR(B15="",B13=""),"", (B15-B13)/2)</f>
        <v/>
      </c>
      <c r="I14" s="67">
        <f>IF(OR(E14="",H14=""),"",E14*H14)</f>
        <v/>
      </c>
      <c r="J14" s="67">
        <f>IF(OR(I14="",G14=""),"",I14*G14)</f>
        <v/>
      </c>
      <c r="K14" s="69" t="inlineStr">
        <is>
          <t>No.3 velocity read as 0.58 m/s from notebook; verify if needed.</t>
        </is>
      </c>
    </row>
    <row r="15" ht="21.75" customHeight="1" s="39">
      <c r="A15" s="65" t="inlineStr">
        <is>
          <t>No.4</t>
        </is>
      </c>
      <c r="B15" s="66" t="n">
        <v>9.5</v>
      </c>
      <c r="C15" s="66" t="n">
        <v>1.952</v>
      </c>
      <c r="D15" s="67">
        <f>IF(C15="","",$B$5+($C$12-C15))</f>
        <v/>
      </c>
      <c r="E15" s="66" t="n">
        <v>0.36</v>
      </c>
      <c r="F15" s="67">
        <f>IF(OR(D15="",E15=""),"",D15+E15)</f>
        <v/>
      </c>
      <c r="G15" s="66" t="n">
        <v>0.277</v>
      </c>
      <c r="H15" s="68">
        <f>IF(OR(B16="",B14=""),"", (B16-B14)/2)</f>
        <v/>
      </c>
      <c r="I15" s="67">
        <f>IF(OR(E15="",H15=""),"",E15*H15)</f>
        <v/>
      </c>
      <c r="J15" s="67">
        <f>IF(OR(I15="",G15=""),"",I15*G15)</f>
        <v/>
      </c>
      <c r="K15" s="69" t="n"/>
    </row>
    <row r="16" ht="21.75" customHeight="1" s="39">
      <c r="A16" s="65" t="inlineStr">
        <is>
          <t>No.5</t>
        </is>
      </c>
      <c r="B16" s="66" t="n">
        <v>11.3</v>
      </c>
      <c r="C16" s="66" t="n">
        <v>1.763</v>
      </c>
      <c r="D16" s="67">
        <f>IF(C16="","",$B$5+($C$12-C16))</f>
        <v/>
      </c>
      <c r="E16" s="66" t="n">
        <v>0.15</v>
      </c>
      <c r="F16" s="67">
        <f>IF(OR(D16="",E16=""),"",D16+E16)</f>
        <v/>
      </c>
      <c r="G16" s="66" t="n">
        <v>0.242</v>
      </c>
      <c r="H16" s="68">
        <f>IF(OR(B17="",B15=""),"", (B17-B15)/2)</f>
        <v/>
      </c>
      <c r="I16" s="67">
        <f>IF(OR(E16="",H16=""),"",E16*H16)</f>
        <v/>
      </c>
      <c r="J16" s="67">
        <f>IF(OR(I16="",G16=""),"",I16*G16)</f>
        <v/>
      </c>
      <c r="K16" s="69" t="n"/>
    </row>
    <row r="17" ht="21.75" customHeight="1" s="39">
      <c r="A17" s="71" t="inlineStr">
        <is>
          <t>No.6</t>
        </is>
      </c>
      <c r="B17" s="72" t="n">
        <v>13.3</v>
      </c>
      <c r="C17" s="72" t="n">
        <v>1.773</v>
      </c>
      <c r="D17" s="73">
        <f>IF(C17="","",$B$5+($C$12-C17))</f>
        <v/>
      </c>
      <c r="E17" s="72" t="n">
        <v>0.15</v>
      </c>
      <c r="F17" s="73">
        <f>IF(OR(D17="",E17=""),"",D17+E17)</f>
        <v/>
      </c>
      <c r="G17" s="72" t="n">
        <v>-0.041</v>
      </c>
      <c r="H17" s="73">
        <f>IF(OR(B17="",B16=""),"", (B17-B16)/2)</f>
        <v/>
      </c>
      <c r="I17" s="73">
        <f>IF(OR(E17="",H17=""),"",E17*H17)</f>
        <v/>
      </c>
      <c r="J17" s="73">
        <f>IF(OR(I17="",G17=""),"",I17*G17)</f>
        <v/>
      </c>
      <c r="K17" s="69" t="inlineStr">
        <is>
          <t>No.6 velocity read as -0.041 m/s from notebook; verify sign if needed.</t>
        </is>
      </c>
    </row>
    <row r="18" ht="21.75" customHeight="1" s="39">
      <c r="B18" s="70" t="n"/>
      <c r="C18" s="70" t="n"/>
      <c r="D18" s="70" t="n"/>
      <c r="E18" s="70" t="n"/>
      <c r="F18" s="70" t="n"/>
      <c r="G18" s="70" t="n"/>
      <c r="H18" s="70" t="n"/>
      <c r="I18" s="70" t="n"/>
      <c r="J18" s="70" t="n"/>
    </row>
    <row r="19" ht="21.75" customHeight="1" s="39">
      <c r="B19" s="70" t="n"/>
      <c r="C19" s="70" t="n"/>
      <c r="D19" s="70" t="n"/>
      <c r="E19" s="70" t="n"/>
      <c r="F19" s="70" t="n"/>
      <c r="G19" s="70" t="n"/>
      <c r="H19" s="70" t="n"/>
      <c r="I19" s="70" t="n"/>
      <c r="J19" s="70" t="n"/>
    </row>
    <row r="20" ht="21.75" customHeight="1" s="39">
      <c r="B20" s="70" t="n"/>
      <c r="C20" s="70" t="n"/>
      <c r="D20" s="70" t="n"/>
      <c r="E20" s="70" t="n"/>
      <c r="F20" s="70" t="n"/>
      <c r="G20" s="70" t="n"/>
      <c r="H20" s="70" t="n"/>
      <c r="I20" s="70" t="n"/>
      <c r="J20" s="70" t="n"/>
    </row>
    <row r="21" ht="21.75" customHeight="1" s="39">
      <c r="B21" s="70" t="n"/>
      <c r="C21" s="70" t="n"/>
      <c r="D21" s="70" t="n"/>
      <c r="E21" s="70" t="n"/>
      <c r="F21" s="70" t="n"/>
      <c r="G21" s="70" t="n"/>
      <c r="H21" s="70" t="n"/>
      <c r="I21" s="70" t="n"/>
      <c r="J21" s="70" t="n"/>
    </row>
    <row r="22" ht="21.75" customHeight="1" s="39">
      <c r="B22" s="70" t="n"/>
      <c r="C22" s="70" t="n"/>
      <c r="D22" s="70" t="n"/>
      <c r="E22" s="70" t="n"/>
      <c r="F22" s="70" t="n"/>
      <c r="G22" s="70" t="n"/>
      <c r="H22" s="70" t="n"/>
      <c r="I22" s="70" t="n"/>
      <c r="J22" s="70" t="n"/>
    </row>
    <row r="23" ht="21.75" customHeight="1" s="39">
      <c r="B23" s="70" t="n"/>
      <c r="C23" s="70" t="n"/>
      <c r="D23" s="70" t="n"/>
      <c r="E23" s="70" t="n"/>
      <c r="F23" s="70" t="n"/>
      <c r="G23" s="70" t="n"/>
      <c r="H23" s="70" t="n"/>
      <c r="I23" s="70" t="n"/>
      <c r="J23" s="70" t="n"/>
    </row>
    <row r="24" ht="21.75" customHeight="1" s="39">
      <c r="B24" s="70" t="n"/>
      <c r="C24" s="70" t="n"/>
      <c r="D24" s="70" t="n"/>
      <c r="E24" s="70" t="n"/>
      <c r="F24" s="70" t="n"/>
      <c r="G24" s="70" t="n"/>
      <c r="H24" s="70" t="n"/>
      <c r="I24" s="70" t="n"/>
      <c r="J24" s="70" t="n"/>
    </row>
    <row r="25" ht="21.75" customHeight="1" s="39">
      <c r="B25" s="70" t="n"/>
      <c r="C25" s="70" t="n"/>
      <c r="D25" s="70" t="n"/>
      <c r="E25" s="70" t="n"/>
      <c r="F25" s="70" t="n"/>
      <c r="G25" s="70" t="n"/>
      <c r="H25" s="70" t="n"/>
      <c r="I25" s="70" t="n"/>
      <c r="J25" s="70" t="n"/>
    </row>
    <row r="26" ht="21.75" customHeight="1" s="39">
      <c r="B26" s="70" t="n"/>
      <c r="C26" s="70" t="n"/>
      <c r="D26" s="70" t="n"/>
      <c r="E26" s="70" t="n"/>
      <c r="F26" s="70" t="n"/>
      <c r="G26" s="70" t="n"/>
      <c r="H26" s="70" t="n"/>
      <c r="I26" s="70" t="n"/>
      <c r="J26" s="70" t="n"/>
    </row>
    <row r="27" ht="21.75" customHeight="1" s="39">
      <c r="B27" s="70" t="n"/>
      <c r="C27" s="70" t="n"/>
      <c r="D27" s="70" t="n"/>
      <c r="E27" s="70" t="n"/>
      <c r="F27" s="70" t="n"/>
      <c r="G27" s="70" t="n"/>
      <c r="H27" s="70" t="n"/>
      <c r="I27" s="70" t="n"/>
      <c r="J27" s="70" t="n"/>
    </row>
    <row r="28" ht="21.75" customHeight="1" s="39">
      <c r="B28" s="70" t="n"/>
      <c r="C28" s="70" t="n"/>
      <c r="D28" s="70" t="n"/>
      <c r="E28" s="70" t="n"/>
      <c r="F28" s="70" t="n"/>
      <c r="G28" s="70" t="n"/>
      <c r="H28" s="70" t="n"/>
      <c r="I28" s="70" t="n"/>
      <c r="J28" s="70" t="n"/>
    </row>
    <row r="29" ht="21.75" customHeight="1" s="39">
      <c r="B29" s="70" t="n"/>
      <c r="C29" s="70" t="n"/>
      <c r="D29" s="70" t="n"/>
      <c r="E29" s="70" t="n"/>
      <c r="F29" s="70" t="n"/>
      <c r="G29" s="70" t="n"/>
      <c r="H29" s="70" t="n"/>
      <c r="I29" s="70" t="n"/>
      <c r="J29" s="70" t="n"/>
    </row>
    <row r="30" ht="21.75" customHeight="1" s="39">
      <c r="B30" s="70" t="n"/>
      <c r="C30" s="70" t="n"/>
      <c r="D30" s="70" t="n"/>
      <c r="E30" s="70" t="n"/>
      <c r="F30" s="70" t="n"/>
      <c r="G30" s="70" t="n"/>
      <c r="H30" s="70" t="n"/>
      <c r="I30" s="70" t="n"/>
      <c r="J30" s="70" t="n"/>
    </row>
    <row r="31" ht="21.75" customHeight="1" s="39">
      <c r="B31" s="70" t="n"/>
      <c r="C31" s="70" t="n"/>
      <c r="D31" s="70" t="n"/>
      <c r="E31" s="70" t="n"/>
      <c r="F31" s="70" t="n"/>
      <c r="G31" s="70" t="n"/>
      <c r="H31" s="70" t="n"/>
      <c r="I31" s="70" t="n"/>
      <c r="J31" s="70" t="n"/>
    </row>
    <row r="32" ht="21.75" customHeight="1" s="39">
      <c r="B32" s="70" t="n"/>
      <c r="C32" s="70" t="n"/>
      <c r="D32" s="70" t="n"/>
      <c r="E32" s="70" t="n"/>
      <c r="F32" s="70" t="n"/>
      <c r="G32" s="70" t="n"/>
      <c r="H32" s="70" t="n"/>
      <c r="I32" s="70" t="n"/>
      <c r="J32" s="70" t="n"/>
    </row>
    <row r="33" ht="21.75" customHeight="1" s="39">
      <c r="B33" s="70" t="n"/>
      <c r="C33" s="70" t="n"/>
      <c r="D33" s="70" t="n"/>
      <c r="E33" s="70" t="n"/>
      <c r="F33" s="70" t="n"/>
      <c r="G33" s="70" t="n"/>
      <c r="H33" s="70" t="n"/>
      <c r="I33" s="70" t="n"/>
      <c r="J33" s="70" t="n"/>
    </row>
    <row r="34" ht="21.75" customHeight="1" s="39">
      <c r="B34" s="70" t="n"/>
      <c r="C34" s="70" t="n"/>
      <c r="D34" s="70" t="n"/>
      <c r="E34" s="70" t="n"/>
      <c r="F34" s="70" t="n"/>
      <c r="G34" s="70" t="n"/>
      <c r="H34" s="70" t="n"/>
      <c r="I34" s="70" t="n"/>
      <c r="J34" s="70" t="n"/>
    </row>
    <row r="35" ht="21.75" customHeight="1" s="39">
      <c r="B35" s="70" t="n"/>
      <c r="C35" s="70" t="n"/>
      <c r="D35" s="70" t="n"/>
      <c r="E35" s="70" t="n"/>
      <c r="F35" s="70" t="n"/>
      <c r="G35" s="70" t="n"/>
      <c r="H35" s="70" t="n"/>
      <c r="I35" s="70" t="n"/>
      <c r="J35" s="70" t="n"/>
    </row>
    <row r="36" ht="21.75" customHeight="1" s="39">
      <c r="B36" s="70" t="n"/>
      <c r="C36" s="70" t="n"/>
      <c r="D36" s="70" t="n"/>
      <c r="E36" s="70" t="n"/>
      <c r="F36" s="70" t="n"/>
      <c r="G36" s="70" t="n"/>
      <c r="H36" s="70" t="n"/>
      <c r="I36" s="70" t="n"/>
      <c r="J36" s="70" t="n"/>
    </row>
    <row r="37" ht="21.75" customHeight="1" s="39">
      <c r="B37" s="70" t="n"/>
      <c r="C37" s="70" t="n"/>
      <c r="D37" s="70" t="n"/>
      <c r="E37" s="70" t="n"/>
      <c r="F37" s="70" t="n"/>
      <c r="G37" s="70" t="n"/>
      <c r="H37" s="70" t="n"/>
      <c r="I37" s="70" t="n"/>
      <c r="J37" s="70" t="n"/>
    </row>
    <row r="38" ht="21.75" customHeight="1" s="39">
      <c r="B38" s="70" t="n"/>
      <c r="C38" s="70" t="n"/>
      <c r="D38" s="70" t="n"/>
      <c r="E38" s="70" t="n"/>
      <c r="F38" s="70" t="n"/>
      <c r="G38" s="70" t="n"/>
      <c r="H38" s="70" t="n"/>
      <c r="I38" s="70" t="n"/>
      <c r="J38" s="70" t="n"/>
    </row>
    <row r="39" ht="21.75" customHeight="1" s="39">
      <c r="B39" s="70" t="n"/>
      <c r="C39" s="70" t="n"/>
      <c r="D39" s="70" t="n"/>
      <c r="E39" s="70" t="n"/>
      <c r="F39" s="70" t="n"/>
      <c r="G39" s="70" t="n"/>
      <c r="H39" s="70" t="n"/>
      <c r="I39" s="70" t="n"/>
      <c r="J39" s="70" t="n"/>
    </row>
    <row r="40" ht="21.75" customHeight="1" s="39"/>
    <row r="41" ht="21.75" customHeight="1" s="39"/>
    <row r="42" ht="21.75" customHeight="1" s="39"/>
    <row r="43" ht="21.75" customHeight="1" s="39"/>
    <row r="44" ht="21.75" customHeight="1" s="39"/>
  </sheetData>
  <mergeCells count="1">
    <mergeCell ref="A1:K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K3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1" customWidth="1" style="80" min="1" max="1"/>
    <col width="18" customWidth="1" style="80" min="2" max="2"/>
    <col width="16" customWidth="1" style="80" min="3" max="3"/>
    <col width="18" customWidth="1" style="80" min="4" max="4"/>
    <col width="14" customWidth="1" style="80" min="5" max="5"/>
    <col width="18" customWidth="1" style="80" min="6" max="6"/>
    <col width="14" customWidth="1" style="80" min="7" max="7"/>
    <col width="16" customWidth="1" style="80" min="8" max="10"/>
    <col width="24" customWidth="1" style="80" min="11" max="11"/>
  </cols>
  <sheetData>
    <row r="1" ht="21.75" customHeight="1" s="39">
      <c r="A1" s="40" t="inlineStr">
        <is>
          <t>FR4 cross-section reduction</t>
        </is>
      </c>
    </row>
    <row r="2" ht="21.75" customHeight="1" s="39"/>
    <row r="3" ht="21.75" customHeight="1" s="39">
      <c r="A3" s="46" t="inlineStr">
        <is>
          <t>Metadata</t>
        </is>
      </c>
      <c r="B3" s="46" t="inlineStr">
        <is>
          <t>Value</t>
        </is>
      </c>
    </row>
    <row r="4" ht="21.75" customHeight="1" s="39">
      <c r="A4" s="46" t="inlineStr">
        <is>
          <t>Site</t>
        </is>
      </c>
      <c r="B4" s="46" t="inlineStr">
        <is>
          <t>FR4</t>
        </is>
      </c>
    </row>
    <row r="5" ht="21.75" customHeight="1" s="39">
      <c r="A5" s="46" t="inlineStr">
        <is>
          <t>No.1 point elevation (m)</t>
        </is>
      </c>
      <c r="B5" s="61">
        <f>River_Points!G6</f>
        <v/>
      </c>
    </row>
    <row r="6" ht="21.75" customHeight="1" s="39">
      <c r="A6" s="46" t="inlineStr">
        <is>
          <t>Approx observed Q target (m3/s)</t>
        </is>
      </c>
      <c r="B6" s="61" t="n">
        <v>0.12</v>
      </c>
    </row>
    <row r="7" ht="21.75" customHeight="1" s="39">
      <c r="A7" s="46" t="inlineStr">
        <is>
          <t>Section mean stage (m)</t>
        </is>
      </c>
      <c r="B7" s="61">
        <f>IF(COUNTA(F10:F40)=0,"",AVERAGE(F10:F40))</f>
        <v/>
      </c>
    </row>
    <row r="8" ht="21.75" customHeight="1" s="39">
      <c r="A8" s="46" t="inlineStr">
        <is>
          <t>Section mean bed elev (m)</t>
        </is>
      </c>
      <c r="B8" s="61">
        <f>IF(COUNTA(D10:D40)=0,"",AVERAGE(D10:D40))</f>
        <v/>
      </c>
      <c r="C8" s="62" t="inlineStr">
        <is>
          <t>Rod reading R (m)</t>
        </is>
      </c>
      <c r="D8" s="62" t="inlineStr">
        <is>
          <t>Point elev Z (m)</t>
        </is>
      </c>
      <c r="E8" s="62" t="inlineStr">
        <is>
          <t>Water depth d (m)</t>
        </is>
      </c>
      <c r="F8" s="62" t="inlineStr">
        <is>
          <t>Water surface elev Zw (m)</t>
        </is>
      </c>
      <c r="G8" s="62" t="inlineStr">
        <is>
          <t>Velocity (m/s)</t>
        </is>
      </c>
      <c r="H8" s="62" t="inlineStr">
        <is>
          <t>Assigned subsection width (m)</t>
        </is>
      </c>
      <c r="I8" s="62" t="inlineStr">
        <is>
          <t>Subsection area (m2)</t>
        </is>
      </c>
      <c r="J8" s="62" t="inlineStr">
        <is>
          <t>Subsection Q (m3/s)</t>
        </is>
      </c>
      <c r="K8" s="62" t="inlineStr">
        <is>
          <t>Notes</t>
        </is>
      </c>
    </row>
    <row r="9" ht="21.75" customHeight="1" s="39">
      <c r="A9" s="46" t="inlineStr">
        <is>
          <t>Computed total Q (m3/s)</t>
        </is>
      </c>
      <c r="B9" s="61">
        <f>IF(COUNTA(J10:J40)=0,"",SUM(J10:J40))</f>
        <v/>
      </c>
      <c r="C9" s="52" t="n"/>
      <c r="D9" s="54">
        <f>IF(C9="","",$B$5+($C$9-C9))</f>
        <v/>
      </c>
      <c r="E9" s="52" t="n"/>
      <c r="F9" s="54">
        <f>IF(OR(D9="",E9=""),"",D9+E9)</f>
        <v/>
      </c>
      <c r="G9" s="52" t="n"/>
      <c r="H9" s="52" t="n"/>
      <c r="I9" s="54">
        <f>IF(OR(E9="",H9=""),"",E9*H9)</f>
        <v/>
      </c>
      <c r="J9" s="54">
        <f>IF(OR(I9="",G9=""),"",I9*G9)</f>
        <v/>
      </c>
      <c r="K9" s="60" t="inlineStr">
        <is>
          <t>GNSS point on ground near river</t>
        </is>
      </c>
    </row>
    <row r="10" ht="21.75" customHeight="1" s="39">
      <c r="A10" s="63" t="inlineStr">
        <is>
          <t>No.2</t>
        </is>
      </c>
      <c r="B10" s="52" t="n"/>
      <c r="C10" s="52" t="n"/>
      <c r="D10" s="54">
        <f>IF(C10="","",$B$5+($C$9-C10))</f>
        <v/>
      </c>
      <c r="E10" s="52" t="n">
        <v>0.19</v>
      </c>
      <c r="F10" s="54">
        <f>IF(OR(D10="",E10=""),"",D10+E10)</f>
        <v/>
      </c>
      <c r="G10" s="52" t="n">
        <v>0.219</v>
      </c>
      <c r="H10" s="52" t="n"/>
      <c r="I10" s="54">
        <f>IF(OR(E10="",H10=""),"",E10*H10)</f>
        <v/>
      </c>
      <c r="J10" s="54">
        <f>IF(OR(I10="",G10=""),"",I10*G10)</f>
        <v/>
      </c>
      <c r="K10" s="60" t="n"/>
    </row>
    <row r="11" ht="21.75" customHeight="1" s="39">
      <c r="A11" s="43" t="inlineStr">
        <is>
          <t>Point</t>
        </is>
      </c>
      <c r="B11" s="64" t="inlineStr">
        <is>
          <t>Distance from No.1 (m)</t>
        </is>
      </c>
      <c r="C11" s="64" t="inlineStr">
        <is>
          <t>Rod reading R (m)</t>
        </is>
      </c>
      <c r="D11" s="64" t="inlineStr">
        <is>
          <t>Point/bed elev Z (m)</t>
        </is>
      </c>
      <c r="E11" s="64" t="inlineStr">
        <is>
          <t>Water depth d (m)</t>
        </is>
      </c>
      <c r="F11" s="64" t="inlineStr">
        <is>
          <t>Water surface elev Zw (m)</t>
        </is>
      </c>
      <c r="G11" s="64" t="inlineStr">
        <is>
          <t>Velocity (m/s)</t>
        </is>
      </c>
      <c r="H11" s="64" t="inlineStr">
        <is>
          <t>Mid-section width (m)</t>
        </is>
      </c>
      <c r="I11" s="64" t="inlineStr">
        <is>
          <t>Subsection area (m2)</t>
        </is>
      </c>
      <c r="J11" s="64" t="inlineStr">
        <is>
          <t>Subsection Q (m3/s)</t>
        </is>
      </c>
      <c r="K11" s="43" t="inlineStr">
        <is>
          <t>Notes</t>
        </is>
      </c>
    </row>
    <row r="12" ht="21.75" customHeight="1" s="39">
      <c r="A12" s="65" t="inlineStr">
        <is>
          <t>No.1</t>
        </is>
      </c>
      <c r="B12" s="66" t="n">
        <v>0</v>
      </c>
      <c r="C12" s="66" t="n">
        <v>1.427</v>
      </c>
      <c r="D12" s="67">
        <f>IF(C12="","",$B$5+($C$12-C12))</f>
        <v/>
      </c>
      <c r="E12" s="66" t="n"/>
      <c r="F12" s="67">
        <f>IF(OR(D12="",E12=""),"",D12+E12)</f>
        <v/>
      </c>
      <c r="G12" s="66" t="n"/>
      <c r="H12" s="68">
        <f>IF(B13="","",B13/2)</f>
        <v/>
      </c>
      <c r="I12" s="67">
        <f>IF(OR(E12="",H12=""),"",E12*H12)</f>
        <v/>
      </c>
      <c r="J12" s="67">
        <f>IF(OR(I12="",G12=""),"",I12*G12)</f>
        <v/>
      </c>
      <c r="K12" s="69" t="inlineStr">
        <is>
          <t>No.1 rod reading transcribed from field notebook photo.</t>
        </is>
      </c>
    </row>
    <row r="13" ht="21.75" customHeight="1" s="39">
      <c r="A13" s="65" t="inlineStr">
        <is>
          <t>No.2</t>
        </is>
      </c>
      <c r="B13" s="66" t="n">
        <v>0.8</v>
      </c>
      <c r="C13" s="66" t="n">
        <v>2.052</v>
      </c>
      <c r="D13" s="67">
        <f>IF(C13="","",$B$5+($C$12-C13))</f>
        <v/>
      </c>
      <c r="E13" s="66" t="n">
        <v>0.19</v>
      </c>
      <c r="F13" s="67">
        <f>IF(OR(D13="",E13=""),"",D13+E13)</f>
        <v/>
      </c>
      <c r="G13" s="66" t="n">
        <v>0.219</v>
      </c>
      <c r="H13" s="68">
        <f>IF(OR(B14="",B12=""),"", (B14-B12)/2)</f>
        <v/>
      </c>
      <c r="I13" s="67">
        <f>IF(OR(E13="",H13=""),"",E13*H13)</f>
        <v/>
      </c>
      <c r="J13" s="67">
        <f>IF(OR(I13="",G13=""),"",I13*G13)</f>
        <v/>
      </c>
      <c r="K13" s="69" t="inlineStr">
        <is>
          <t>Distance from No.1 confirmed from notebook convention: opposite bank = 0 m, No.1 = 2.8 m.</t>
        </is>
      </c>
    </row>
    <row r="14" ht="21.75" customHeight="1" s="39">
      <c r="A14" s="65" t="inlineStr">
        <is>
          <t>No.3</t>
        </is>
      </c>
      <c r="B14" s="66" t="n">
        <v>1.3</v>
      </c>
      <c r="C14" s="66" t="n">
        <v>2.18</v>
      </c>
      <c r="D14" s="67">
        <f>IF(C14="","",$B$5+($C$12-C14))</f>
        <v/>
      </c>
      <c r="E14" s="66" t="n">
        <v>0.16</v>
      </c>
      <c r="F14" s="67">
        <f>IF(OR(D14="",E14=""),"",D14+E14)</f>
        <v/>
      </c>
      <c r="G14" s="66" t="n">
        <v>0.277</v>
      </c>
      <c r="H14" s="68">
        <f>IF(OR(B15="",B13=""),"", (B15-B13)/2)</f>
        <v/>
      </c>
      <c r="I14" s="67">
        <f>IF(OR(E14="",H14=""),"",E14*H14)</f>
        <v/>
      </c>
      <c r="J14" s="67">
        <f>IF(OR(I14="",G14=""),"",I14*G14)</f>
        <v/>
      </c>
      <c r="K14" s="69" t="inlineStr">
        <is>
          <t>Distance from No.1 confirmed from notebook convention.</t>
        </is>
      </c>
    </row>
    <row r="15" ht="21.75" customHeight="1" s="39">
      <c r="A15" s="65" t="inlineStr">
        <is>
          <t>No.4</t>
        </is>
      </c>
      <c r="B15" s="66" t="n">
        <v>1.8</v>
      </c>
      <c r="C15" s="66" t="n">
        <v>2.183</v>
      </c>
      <c r="D15" s="67">
        <f>IF(C15="","",$B$5+($C$12-C15))</f>
        <v/>
      </c>
      <c r="E15" s="66" t="n">
        <v>0.08</v>
      </c>
      <c r="F15" s="67">
        <f>IF(OR(D15="",E15=""),"",D15+E15)</f>
        <v/>
      </c>
      <c r="G15" s="66" t="n">
        <v>0.258</v>
      </c>
      <c r="H15" s="68">
        <f>IF(OR(B16="",B14=""),"", (B16-B14)/2)</f>
        <v/>
      </c>
      <c r="I15" s="67">
        <f>IF(OR(E15="",H15=""),"",E15*H15)</f>
        <v/>
      </c>
      <c r="J15" s="67">
        <f>IF(OR(I15="",G15=""),"",I15*G15)</f>
        <v/>
      </c>
      <c r="K15" s="69" t="inlineStr">
        <is>
          <t>Distance from No.1 confirmed from notebook convention.</t>
        </is>
      </c>
    </row>
    <row r="16" ht="21.75" customHeight="1" s="39">
      <c r="A16" s="65" t="inlineStr">
        <is>
          <t>No.5</t>
        </is>
      </c>
      <c r="B16" s="66" t="n">
        <v>2.8</v>
      </c>
      <c r="C16" s="66" t="n">
        <v>2.195</v>
      </c>
      <c r="D16" s="67">
        <f>IF(C16="","",$B$5+($C$12-C16))</f>
        <v/>
      </c>
      <c r="E16" s="66" t="n">
        <v>0.18</v>
      </c>
      <c r="F16" s="67">
        <f>IF(OR(D16="",E16=""),"",D16+E16)</f>
        <v/>
      </c>
      <c r="G16" s="66" t="n">
        <v>0.264</v>
      </c>
      <c r="H16" s="68">
        <f>IF(OR(B16="",B15=""),"", (B16-B15)/2)</f>
        <v/>
      </c>
      <c r="I16" s="67">
        <f>IF(OR(E16="",H16=""),"",E16*H16)</f>
        <v/>
      </c>
      <c r="J16" s="67">
        <f>IF(OR(I16="",G16=""),"",I16*G16)</f>
        <v/>
      </c>
      <c r="K16" s="69" t="inlineStr">
        <is>
          <t>Distance from No.1 confirmed from notebook convention.</t>
        </is>
      </c>
    </row>
    <row r="17" ht="21.75" customHeight="1" s="39">
      <c r="B17" s="70" t="n"/>
      <c r="C17" s="70" t="n"/>
      <c r="D17" s="70" t="n"/>
      <c r="E17" s="70" t="n"/>
      <c r="F17" s="70" t="n"/>
      <c r="G17" s="70" t="n"/>
      <c r="H17" s="70" t="n"/>
      <c r="I17" s="70" t="n"/>
      <c r="J17" s="70" t="n"/>
    </row>
    <row r="18" ht="21.75" customHeight="1" s="39">
      <c r="B18" s="70" t="n"/>
      <c r="C18" s="70" t="n"/>
      <c r="D18" s="70" t="n"/>
      <c r="E18" s="70" t="n"/>
      <c r="F18" s="70" t="n"/>
      <c r="G18" s="70" t="n"/>
      <c r="H18" s="70" t="n"/>
      <c r="I18" s="70" t="n"/>
      <c r="J18" s="70" t="n"/>
    </row>
    <row r="19" ht="21.75" customHeight="1" s="39">
      <c r="B19" s="70" t="n"/>
      <c r="C19" s="70" t="n"/>
      <c r="D19" s="70" t="n"/>
      <c r="E19" s="70" t="n"/>
      <c r="F19" s="70" t="n"/>
      <c r="G19" s="70" t="n"/>
      <c r="H19" s="70" t="n"/>
      <c r="I19" s="70" t="n"/>
      <c r="J19" s="70" t="n"/>
    </row>
    <row r="20" ht="21.75" customHeight="1" s="39">
      <c r="B20" s="70" t="n"/>
      <c r="C20" s="70" t="n"/>
      <c r="D20" s="70" t="n"/>
      <c r="E20" s="70" t="n"/>
      <c r="F20" s="70" t="n"/>
      <c r="G20" s="70" t="n"/>
      <c r="H20" s="70" t="n"/>
      <c r="I20" s="70" t="n"/>
      <c r="J20" s="70" t="n"/>
    </row>
    <row r="21" ht="21.75" customHeight="1" s="39">
      <c r="B21" s="70" t="n"/>
      <c r="C21" s="70" t="n"/>
      <c r="D21" s="70" t="n"/>
      <c r="E21" s="70" t="n"/>
      <c r="F21" s="70" t="n"/>
      <c r="G21" s="70" t="n"/>
      <c r="H21" s="70" t="n"/>
      <c r="I21" s="70" t="n"/>
      <c r="J21" s="70" t="n"/>
    </row>
    <row r="22" ht="21.75" customHeight="1" s="39">
      <c r="B22" s="70" t="n"/>
      <c r="C22" s="70" t="n"/>
      <c r="D22" s="70" t="n"/>
      <c r="E22" s="70" t="n"/>
      <c r="F22" s="70" t="n"/>
      <c r="G22" s="70" t="n"/>
      <c r="H22" s="70" t="n"/>
      <c r="I22" s="70" t="n"/>
      <c r="J22" s="70" t="n"/>
    </row>
    <row r="23" ht="21.75" customHeight="1" s="39">
      <c r="B23" s="70" t="n"/>
      <c r="C23" s="70" t="n"/>
      <c r="D23" s="70" t="n"/>
      <c r="E23" s="70" t="n"/>
      <c r="F23" s="70" t="n"/>
      <c r="G23" s="70" t="n"/>
      <c r="H23" s="70" t="n"/>
      <c r="I23" s="70" t="n"/>
      <c r="J23" s="70" t="n"/>
    </row>
    <row r="24" ht="21.75" customHeight="1" s="39">
      <c r="B24" s="70" t="n"/>
      <c r="C24" s="70" t="n"/>
      <c r="D24" s="70" t="n"/>
      <c r="E24" s="70" t="n"/>
      <c r="F24" s="70" t="n"/>
      <c r="G24" s="70" t="n"/>
      <c r="H24" s="70" t="n"/>
      <c r="I24" s="70" t="n"/>
      <c r="J24" s="70" t="n"/>
    </row>
    <row r="25" ht="21.75" customHeight="1" s="39">
      <c r="B25" s="70" t="n"/>
      <c r="C25" s="70" t="n"/>
      <c r="D25" s="70" t="n"/>
      <c r="E25" s="70" t="n"/>
      <c r="F25" s="70" t="n"/>
      <c r="G25" s="70" t="n"/>
      <c r="H25" s="70" t="n"/>
      <c r="I25" s="70" t="n"/>
      <c r="J25" s="70" t="n"/>
    </row>
    <row r="26" ht="21.75" customHeight="1" s="39">
      <c r="B26" s="70" t="n"/>
      <c r="C26" s="70" t="n"/>
      <c r="D26" s="70" t="n"/>
      <c r="E26" s="70" t="n"/>
      <c r="F26" s="70" t="n"/>
      <c r="G26" s="70" t="n"/>
      <c r="H26" s="70" t="n"/>
      <c r="I26" s="70" t="n"/>
      <c r="J26" s="70" t="n"/>
    </row>
    <row r="27" ht="21.75" customHeight="1" s="39">
      <c r="B27" s="70" t="n"/>
      <c r="C27" s="70" t="n"/>
      <c r="D27" s="70" t="n"/>
      <c r="E27" s="70" t="n"/>
      <c r="F27" s="70" t="n"/>
      <c r="G27" s="70" t="n"/>
      <c r="H27" s="70" t="n"/>
      <c r="I27" s="70" t="n"/>
      <c r="J27" s="70" t="n"/>
    </row>
    <row r="28" ht="21.75" customHeight="1" s="39">
      <c r="B28" s="70" t="n"/>
      <c r="C28" s="70" t="n"/>
      <c r="D28" s="70" t="n"/>
      <c r="E28" s="70" t="n"/>
      <c r="F28" s="70" t="n"/>
      <c r="G28" s="70" t="n"/>
      <c r="H28" s="70" t="n"/>
      <c r="I28" s="70" t="n"/>
      <c r="J28" s="70" t="n"/>
    </row>
    <row r="29" ht="21.75" customHeight="1" s="39">
      <c r="B29" s="70" t="n"/>
      <c r="C29" s="70" t="n"/>
      <c r="D29" s="70" t="n"/>
      <c r="E29" s="70" t="n"/>
      <c r="F29" s="70" t="n"/>
      <c r="G29" s="70" t="n"/>
      <c r="H29" s="70" t="n"/>
      <c r="I29" s="70" t="n"/>
      <c r="J29" s="70" t="n"/>
    </row>
    <row r="30" ht="21.75" customHeight="1" s="39">
      <c r="B30" s="70" t="n"/>
      <c r="C30" s="70" t="n"/>
      <c r="D30" s="70" t="n"/>
      <c r="E30" s="70" t="n"/>
      <c r="F30" s="70" t="n"/>
      <c r="G30" s="70" t="n"/>
      <c r="H30" s="70" t="n"/>
      <c r="I30" s="70" t="n"/>
      <c r="J30" s="70" t="n"/>
    </row>
    <row r="31" ht="21.75" customHeight="1" s="39">
      <c r="B31" s="70" t="n"/>
      <c r="C31" s="70" t="n"/>
      <c r="D31" s="70" t="n"/>
      <c r="E31" s="70" t="n"/>
      <c r="F31" s="70" t="n"/>
      <c r="G31" s="70" t="n"/>
      <c r="H31" s="70" t="n"/>
      <c r="I31" s="70" t="n"/>
      <c r="J31" s="70" t="n"/>
    </row>
    <row r="32" ht="21.75" customHeight="1" s="39">
      <c r="B32" s="70" t="n"/>
      <c r="C32" s="70" t="n"/>
      <c r="D32" s="70" t="n"/>
      <c r="E32" s="70" t="n"/>
      <c r="F32" s="70" t="n"/>
      <c r="G32" s="70" t="n"/>
      <c r="H32" s="70" t="n"/>
      <c r="I32" s="70" t="n"/>
      <c r="J32" s="70" t="n"/>
    </row>
    <row r="33" ht="21.75" customHeight="1" s="39">
      <c r="B33" s="70" t="n"/>
      <c r="C33" s="70" t="n"/>
      <c r="D33" s="70" t="n"/>
      <c r="E33" s="70" t="n"/>
      <c r="F33" s="70" t="n"/>
      <c r="G33" s="70" t="n"/>
      <c r="H33" s="70" t="n"/>
      <c r="I33" s="70" t="n"/>
      <c r="J33" s="70" t="n"/>
    </row>
    <row r="34" ht="21.75" customHeight="1" s="39">
      <c r="B34" s="70" t="n"/>
      <c r="C34" s="70" t="n"/>
      <c r="D34" s="70" t="n"/>
      <c r="E34" s="70" t="n"/>
      <c r="F34" s="70" t="n"/>
      <c r="G34" s="70" t="n"/>
      <c r="H34" s="70" t="n"/>
      <c r="I34" s="70" t="n"/>
      <c r="J34" s="70" t="n"/>
    </row>
    <row r="35" ht="21.75" customHeight="1" s="39">
      <c r="B35" s="70" t="n"/>
      <c r="C35" s="70" t="n"/>
      <c r="D35" s="70" t="n"/>
      <c r="E35" s="70" t="n"/>
      <c r="F35" s="70" t="n"/>
      <c r="G35" s="70" t="n"/>
      <c r="H35" s="70" t="n"/>
      <c r="I35" s="70" t="n"/>
      <c r="J35" s="70" t="n"/>
    </row>
    <row r="36" ht="21.75" customHeight="1" s="39">
      <c r="B36" s="70" t="n"/>
      <c r="C36" s="70" t="n"/>
      <c r="D36" s="70" t="n"/>
      <c r="E36" s="70" t="n"/>
      <c r="F36" s="70" t="n"/>
      <c r="G36" s="70" t="n"/>
      <c r="H36" s="70" t="n"/>
      <c r="I36" s="70" t="n"/>
      <c r="J36" s="70" t="n"/>
    </row>
    <row r="37" ht="21.75" customHeight="1" s="39">
      <c r="B37" s="70" t="n"/>
      <c r="C37" s="70" t="n"/>
      <c r="D37" s="70" t="n"/>
      <c r="E37" s="70" t="n"/>
      <c r="F37" s="70" t="n"/>
      <c r="G37" s="70" t="n"/>
      <c r="H37" s="70" t="n"/>
      <c r="I37" s="70" t="n"/>
      <c r="J37" s="70" t="n"/>
    </row>
    <row r="38" ht="21.75" customHeight="1" s="39">
      <c r="B38" s="70" t="n"/>
      <c r="C38" s="70" t="n"/>
      <c r="D38" s="70" t="n"/>
      <c r="E38" s="70" t="n"/>
      <c r="F38" s="70" t="n"/>
      <c r="G38" s="70" t="n"/>
      <c r="H38" s="70" t="n"/>
      <c r="I38" s="70" t="n"/>
      <c r="J38" s="70" t="n"/>
    </row>
    <row r="39" ht="21.75" customHeight="1" s="39">
      <c r="B39" s="70" t="n"/>
      <c r="C39" s="70" t="n"/>
      <c r="D39" s="70" t="n"/>
      <c r="E39" s="70" t="n"/>
      <c r="F39" s="70" t="n"/>
      <c r="G39" s="70" t="n"/>
      <c r="H39" s="70" t="n"/>
      <c r="I39" s="70" t="n"/>
      <c r="J39" s="70" t="n"/>
    </row>
    <row r="40" ht="21.75" customHeight="1" s="39"/>
    <row r="41" ht="21.75" customHeight="1" s="39"/>
    <row r="42" ht="21.75" customHeight="1" s="39"/>
    <row r="43" ht="21.75" customHeight="1" s="39"/>
    <row r="44" ht="21.75" customHeight="1" s="39"/>
  </sheetData>
  <mergeCells count="1">
    <mergeCell ref="A1:K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80" min="1" max="1"/>
    <col width="16" customWidth="1" style="80" min="2" max="2"/>
    <col width="18" customWidth="1" style="80" min="3" max="3"/>
    <col width="16" customWidth="1" style="80" min="4" max="5"/>
    <col width="18" customWidth="1" style="80" min="6" max="6"/>
    <col width="16" customWidth="1" style="80" min="7" max="7"/>
    <col width="28" customWidth="1" style="80" min="8" max="8"/>
  </cols>
  <sheetData>
    <row r="1" ht="21.75" customHeight="1" s="39">
      <c r="A1" s="43" t="inlineStr">
        <is>
          <t>Survey-derived field values and model comparison</t>
        </is>
      </c>
      <c r="B1" s="44" t="n"/>
      <c r="C1" s="44" t="n"/>
      <c r="D1" s="44" t="n"/>
      <c r="E1" s="44" t="n"/>
      <c r="F1" s="44" t="n"/>
      <c r="G1" s="44" t="n"/>
      <c r="H1" s="45" t="n"/>
    </row>
    <row r="2" ht="21.75" customHeight="1" s="39"/>
    <row r="3" ht="21.75" customHeight="1" s="39">
      <c r="A3" s="46" t="inlineStr">
        <is>
          <t>Site</t>
        </is>
      </c>
      <c r="B3" s="46" t="inlineStr">
        <is>
          <t>No.1 elev (m)</t>
        </is>
      </c>
      <c r="C3" s="46" t="inlineStr">
        <is>
          <t>Section mean point elev (m)</t>
        </is>
      </c>
      <c r="D3" s="46" t="inlineStr">
        <is>
          <t>Section mean stage (m)</t>
        </is>
      </c>
      <c r="E3" s="46" t="inlineStr">
        <is>
          <t>Field-calculated Q (m3/s)</t>
        </is>
      </c>
      <c r="F3" s="46" t="inlineStr">
        <is>
          <t>Simulated Q (m3/s)</t>
        </is>
      </c>
      <c r="G3" s="46" t="inlineStr">
        <is>
          <t>Difference (sim-field)</t>
        </is>
      </c>
      <c r="H3" s="46" t="inlineStr">
        <is>
          <t>Notes</t>
        </is>
      </c>
    </row>
    <row r="4" ht="21.75" customHeight="1" s="39">
      <c r="A4" s="55" t="inlineStr">
        <is>
          <t>FR2</t>
        </is>
      </c>
      <c r="B4" s="54">
        <f>River_Points!G4</f>
        <v/>
      </c>
      <c r="C4" s="54">
        <f>FR2!B8</f>
        <v/>
      </c>
      <c r="D4" s="54">
        <f>FR2!B7</f>
        <v/>
      </c>
      <c r="E4" s="54">
        <f>FR2!B9</f>
        <v/>
      </c>
      <c r="F4" s="93" t="n"/>
      <c r="G4" s="54">
        <f>IF(OR(E4="",F4=""),"",F4-E4)</f>
        <v/>
      </c>
      <c r="H4" s="60" t="inlineStr">
        <is>
          <t>Use stage / bed / Q to update MODFLOW river package.</t>
        </is>
      </c>
    </row>
    <row r="5" ht="21.75" customHeight="1" s="39">
      <c r="A5" s="55" t="inlineStr">
        <is>
          <t>FR2 (repeat 3/24)</t>
        </is>
      </c>
      <c r="B5" s="54">
        <f>River_Points!G4</f>
        <v/>
      </c>
      <c r="C5" s="54">
        <f>FR2_0324!B8</f>
        <v/>
      </c>
      <c r="D5" s="54">
        <f>FR2_0324!B7</f>
        <v/>
      </c>
      <c r="E5" s="54">
        <f>FR2_0324!B9</f>
        <v/>
      </c>
      <c r="F5" s="93" t="n"/>
      <c r="G5" s="54">
        <f>IF(OR(E5="",F5=""),"",F5-E5)</f>
        <v/>
      </c>
      <c r="H5" s="60" t="inlineStr">
        <is>
          <t>Repeat measurement during pressure sensor recovery.</t>
        </is>
      </c>
    </row>
    <row r="6" ht="21.75" customHeight="1" s="39">
      <c r="A6" s="55" t="inlineStr">
        <is>
          <t>FR3</t>
        </is>
      </c>
      <c r="B6" s="54">
        <f>River_Points!G5</f>
        <v/>
      </c>
      <c r="C6" s="54">
        <f>FR3!B8</f>
        <v/>
      </c>
      <c r="D6" s="54">
        <f>FR3!B7</f>
        <v/>
      </c>
      <c r="E6" s="54">
        <f>FR3!B9</f>
        <v/>
      </c>
      <c r="F6" s="93" t="n"/>
      <c r="G6" s="54">
        <f>IF(OR(E6="",F6=""),"",F6-E6)</f>
        <v/>
      </c>
      <c r="H6" s="60" t="inlineStr">
        <is>
          <t>Check No.3 and No.6 velocities in field note.</t>
        </is>
      </c>
    </row>
    <row r="7" ht="21.75" customHeight="1" s="39">
      <c r="A7" s="55" t="inlineStr">
        <is>
          <t>FR4</t>
        </is>
      </c>
      <c r="B7" s="54">
        <f>River_Points!G6</f>
        <v/>
      </c>
      <c r="C7" s="54">
        <f>FR4!B8</f>
        <v/>
      </c>
      <c r="D7" s="54">
        <f>FR4!B7</f>
        <v/>
      </c>
      <c r="E7" s="54">
        <f>FR4!B9</f>
        <v/>
      </c>
      <c r="F7" s="93" t="n"/>
      <c r="G7" s="54">
        <f>IF(OR(E7="",F7=""),"",F7-E7)</f>
        <v/>
      </c>
      <c r="H7" s="60" t="inlineStr">
        <is>
          <t>FR4 distances inferred from field notebook; verify final stationing if needed.</t>
        </is>
      </c>
    </row>
    <row r="8" ht="21.75" customHeight="1" s="39">
      <c r="A8" s="55" t="inlineStr">
        <is>
          <t>FR5</t>
        </is>
      </c>
      <c r="B8" s="54">
        <f>River_Points!G7</f>
        <v/>
      </c>
      <c r="C8" s="54">
        <f>FR5!B8</f>
        <v/>
      </c>
      <c r="D8" s="54">
        <f>FR5!B7</f>
        <v/>
      </c>
      <c r="E8" s="54">
        <f>FR5!B9</f>
        <v/>
      </c>
      <c r="F8" s="93" t="n"/>
      <c r="G8" s="54">
        <f>IF(OR(E8="",F8=""),"",F8-E8)</f>
        <v/>
      </c>
      <c r="H8" s="60" t="inlineStr">
        <is>
          <t>Upper-stream village section added from later field notebook photo.</t>
        </is>
      </c>
    </row>
    <row r="9" ht="21.75" customHeight="1" s="39">
      <c r="A9" s="55" t="inlineStr">
        <is>
          <t>FR6</t>
        </is>
      </c>
      <c r="B9" s="54">
        <f>River_Points!G8</f>
        <v/>
      </c>
      <c r="C9" s="54">
        <f>FR6!B8</f>
        <v/>
      </c>
      <c r="D9" s="54">
        <f>FR6!B7</f>
        <v/>
      </c>
      <c r="E9" s="54">
        <f>FR6!B9</f>
        <v/>
      </c>
      <c r="F9" s="93" t="n"/>
      <c r="G9" s="54">
        <f>IF(OR(E9="",F9=""),"",F9-E9)</f>
        <v/>
      </c>
      <c r="H9" s="60" t="inlineStr">
        <is>
          <t>Confluence section added from later field notebook photo.</t>
        </is>
      </c>
    </row>
    <row r="10" ht="21.75" customHeight="1" s="39">
      <c r="A10" s="55" t="inlineStr">
        <is>
          <t>FR7</t>
        </is>
      </c>
      <c r="B10" s="54">
        <f>River_Points!G9</f>
        <v/>
      </c>
      <c r="C10" s="54" t="n"/>
      <c r="D10" s="54" t="n"/>
      <c r="E10" s="54">
        <f>FR7!B9</f>
        <v/>
      </c>
      <c r="F10" s="93" t="n"/>
      <c r="G10" s="54">
        <f>IF(OR(E10="",F10=""),"",F10-E10)</f>
        <v/>
      </c>
      <c r="H10" s="60" t="inlineStr">
        <is>
          <t>Small split-flow measured by bag method; no full cross-section stage/bed.</t>
        </is>
      </c>
    </row>
    <row r="11" ht="21.75" customHeight="1" s="39"/>
    <row r="12" ht="21.75" customHeight="1" s="39">
      <c r="A12" s="62" t="inlineStr">
        <is>
          <t>GW Site</t>
        </is>
      </c>
      <c r="B12" s="62" t="inlineStr">
        <is>
          <t>Ground point elev (m)</t>
        </is>
      </c>
      <c r="C12" s="62" t="inlineStr">
        <is>
          <t>Depth to water (m)</t>
        </is>
      </c>
      <c r="D12" s="62" t="inlineStr">
        <is>
          <t>GW head (m)</t>
        </is>
      </c>
      <c r="E12" s="62" t="inlineStr">
        <is>
          <t>Notes</t>
        </is>
      </c>
    </row>
    <row r="13" ht="21.75" customHeight="1" s="39">
      <c r="A13" s="46" t="inlineStr">
        <is>
          <t>FG1</t>
        </is>
      </c>
      <c r="B13" s="61">
        <f>Groundwater!G4</f>
        <v/>
      </c>
      <c r="C13" s="61">
        <f>Groundwater!H4</f>
        <v/>
      </c>
      <c r="D13" s="61">
        <f>Groundwater!I4</f>
        <v/>
      </c>
      <c r="E13" s="60" t="inlineStr">
        <is>
          <t>Use as groundwater head calibration when DTW is entered.</t>
        </is>
      </c>
    </row>
    <row r="14" ht="21.75" customHeight="1" s="39">
      <c r="A14" s="55" t="inlineStr">
        <is>
          <t>FG2</t>
        </is>
      </c>
      <c r="B14" s="54">
        <f>Groundwater!G5</f>
        <v/>
      </c>
      <c r="C14" s="54">
        <f>Groundwater!H5</f>
        <v/>
      </c>
      <c r="D14" s="54">
        <f>Groundwater!I5</f>
        <v/>
      </c>
      <c r="E14" s="60" t="inlineStr">
        <is>
          <t>Combine with SF6 and stable isotopes later if desired.</t>
        </is>
      </c>
    </row>
    <row r="15" ht="21.75" customHeight="1" s="39"/>
    <row r="16" ht="21.75" customHeight="1" s="39"/>
    <row r="17" ht="21.75" customHeight="1" s="39">
      <c r="A17" s="80" t="inlineStr">
        <is>
          <t>River-only calculated results (current notebook values)</t>
        </is>
      </c>
    </row>
    <row r="18" ht="21.75" customHeight="1" s="39"/>
    <row r="19" ht="21.75" customHeight="1" s="39">
      <c r="A19" s="80" t="inlineStr">
        <is>
          <t>Site</t>
        </is>
      </c>
      <c r="B19" s="80" t="inlineStr">
        <is>
          <t>No.1 elev (m)</t>
        </is>
      </c>
      <c r="C19" s="80" t="inlineStr">
        <is>
          <t>Mean bed elev (m)</t>
        </is>
      </c>
      <c r="D19" s="80" t="inlineStr">
        <is>
          <t>Mean stage (m)</t>
        </is>
      </c>
      <c r="E19" s="80" t="inlineStr">
        <is>
          <t>Computed Q (m3/s)</t>
        </is>
      </c>
      <c r="F19" s="80" t="inlineStr">
        <is>
          <t>Observed Q target (m3/s)</t>
        </is>
      </c>
      <c r="G19" s="80" t="inlineStr">
        <is>
          <t>Residual Q</t>
        </is>
      </c>
      <c r="H19" s="80" t="inlineStr">
        <is>
          <t>Comment</t>
        </is>
      </c>
    </row>
    <row r="20" ht="21.75" customHeight="1" s="39">
      <c r="A20" s="80" t="inlineStr">
        <is>
          <t>FR2</t>
        </is>
      </c>
      <c r="B20" s="70" t="n">
        <v>2.8908477</v>
      </c>
      <c r="C20" s="70" t="n">
        <v>2.4518477</v>
      </c>
      <c r="D20" s="70" t="n">
        <v>2.6655143667</v>
      </c>
      <c r="E20" s="70" t="n">
        <v>1.75035</v>
      </c>
      <c r="F20" s="70" t="n">
        <v>1.7</v>
      </c>
      <c r="G20" s="70" t="n">
        <v>0.0503500000000001</v>
      </c>
      <c r="H20" s="80" t="inlineStr">
        <is>
          <t>Good agreement with observed target.</t>
        </is>
      </c>
    </row>
    <row r="21" ht="21.75" customHeight="1" s="39">
      <c r="A21" s="80" t="inlineStr">
        <is>
          <t>FR2 (repeat 3/24)</t>
        </is>
      </c>
      <c r="B21" s="70">
        <f>River_Points!G4</f>
        <v/>
      </c>
      <c r="C21" s="70">
        <f>FR2_0324!B8</f>
        <v/>
      </c>
      <c r="D21" s="70">
        <f>FR2_0324!B7</f>
        <v/>
      </c>
      <c r="E21" s="70">
        <f>FR2_0324!B9</f>
        <v/>
      </c>
      <c r="F21" s="70">
        <f>FR2_0324!B6</f>
        <v/>
      </c>
      <c r="G21" s="70">
        <f>E21-F21</f>
        <v/>
      </c>
      <c r="H21" s="80" t="inlineStr">
        <is>
          <t>Repeat measurement during pressure sensor recovery.</t>
        </is>
      </c>
    </row>
    <row r="22" ht="21.75" customHeight="1" s="39">
      <c r="A22" s="80" t="inlineStr">
        <is>
          <t>FR3</t>
        </is>
      </c>
      <c r="B22" s="70" t="n">
        <v>25.2919194</v>
      </c>
      <c r="C22" s="70" t="n">
        <v>25.0240860667</v>
      </c>
      <c r="D22" s="70" t="n">
        <v>25.2845194</v>
      </c>
      <c r="E22" s="70" t="n">
        <v>1.14422</v>
      </c>
      <c r="F22" s="70" t="n">
        <v>1.3</v>
      </c>
      <c r="G22" s="70" t="n">
        <v>-0.15578</v>
      </c>
      <c r="H22" s="80" t="inlineStr">
        <is>
          <t>Lower than target; may reflect negative velocity at No.6.</t>
        </is>
      </c>
    </row>
    <row r="23" ht="21.75" customHeight="1" s="39">
      <c r="A23" s="80" t="inlineStr">
        <is>
          <t>FR4</t>
        </is>
      </c>
      <c r="B23" s="70" t="n">
        <v>32.131828</v>
      </c>
      <c r="C23" s="70" t="n">
        <v>31.551428</v>
      </c>
      <c r="D23" s="70" t="n">
        <v>31.558828</v>
      </c>
      <c r="E23" s="70" t="n">
        <v>0.0884465</v>
      </c>
      <c r="F23" s="70" t="n">
        <v>0.12</v>
      </c>
      <c r="G23" s="70" t="n">
        <v>-0.0315535</v>
      </c>
      <c r="H23" s="80" t="inlineStr">
        <is>
          <t>Slightly below target; distances now fixed from notebook convention.</t>
        </is>
      </c>
    </row>
    <row r="24" ht="21.75" customHeight="1" s="39">
      <c r="A24" s="80" t="inlineStr">
        <is>
          <t>FR5</t>
        </is>
      </c>
      <c r="B24" s="70">
        <f>River_Points!G7</f>
        <v/>
      </c>
      <c r="C24" s="70">
        <f>FR5!B8</f>
        <v/>
      </c>
      <c r="D24" s="70">
        <f>FR5!B7</f>
        <v/>
      </c>
      <c r="E24" s="70">
        <f>FR5!B9</f>
        <v/>
      </c>
      <c r="F24" s="70">
        <f>FR5!B6</f>
        <v/>
      </c>
      <c r="G24" s="70">
        <f>E22-F22</f>
        <v/>
      </c>
      <c r="H24" s="80" t="inlineStr">
        <is>
          <t>Upper-stream village section from notebook.</t>
        </is>
      </c>
    </row>
    <row r="25" ht="21.75" customHeight="1" s="39">
      <c r="A25" s="80" t="inlineStr">
        <is>
          <t>FR6</t>
        </is>
      </c>
      <c r="B25" s="70">
        <f>River_Points!G8</f>
        <v/>
      </c>
      <c r="C25" s="70">
        <f>FR6!B8</f>
        <v/>
      </c>
      <c r="D25" s="70">
        <f>FR6!B7</f>
        <v/>
      </c>
      <c r="E25" s="70">
        <f>FR6!B9</f>
        <v/>
      </c>
      <c r="F25" s="70">
        <f>FR6!B6</f>
        <v/>
      </c>
      <c r="G25" s="70">
        <f>E23-F23</f>
        <v/>
      </c>
      <c r="H25" s="80" t="inlineStr">
        <is>
          <t>Confluence section from notebook.</t>
        </is>
      </c>
    </row>
    <row r="26" ht="21.75" customHeight="1" s="39">
      <c r="A26" s="80" t="inlineStr">
        <is>
          <t>FR7</t>
        </is>
      </c>
      <c r="B26" s="70">
        <f>River_Points!G9</f>
        <v/>
      </c>
      <c r="C26" s="70" t="n"/>
      <c r="D26" s="70" t="n"/>
      <c r="E26" s="70">
        <f>FR7!B9</f>
        <v/>
      </c>
      <c r="F26" s="70">
        <f>FR7!B6</f>
        <v/>
      </c>
      <c r="G26" s="70">
        <f>E24-F24</f>
        <v/>
      </c>
      <c r="H26" s="80" t="inlineStr">
        <is>
          <t>Bag-method total from two small flows.</t>
        </is>
      </c>
    </row>
    <row r="27" ht="21.75" customHeight="1" s="39"/>
    <row r="28" ht="21.75" customHeight="1" s="39"/>
    <row r="29" ht="21.75" customHeight="1" s="39"/>
  </sheetData>
  <mergeCells count="1">
    <mergeCell ref="A1:H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K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1" customWidth="1" style="80" min="1" max="1"/>
    <col width="18" customWidth="1" style="80" min="2" max="2"/>
    <col width="16" customWidth="1" style="80" min="3" max="3"/>
    <col width="18" customWidth="1" style="80" min="4" max="4"/>
    <col width="14" customWidth="1" style="80" min="5" max="5"/>
    <col width="18" customWidth="1" style="80" min="6" max="6"/>
    <col width="14" customWidth="1" style="80" min="7" max="7"/>
    <col width="16" customWidth="1" style="80" min="8" max="10"/>
    <col width="24" customWidth="1" style="80" min="11" max="11"/>
  </cols>
  <sheetData>
    <row r="1" ht="21.75" customHeight="1" s="39">
      <c r="A1" s="40" t="inlineStr">
        <is>
          <t>FR5 cross-section reduction</t>
        </is>
      </c>
    </row>
    <row r="2" ht="21.75" customHeight="1" s="39"/>
    <row r="3" ht="21.75" customHeight="1" s="39">
      <c r="A3" s="46" t="inlineStr">
        <is>
          <t>Metadata</t>
        </is>
      </c>
      <c r="B3" s="46" t="inlineStr">
        <is>
          <t>Value</t>
        </is>
      </c>
    </row>
    <row r="4" ht="21.75" customHeight="1" s="39">
      <c r="A4" s="46" t="inlineStr">
        <is>
          <t>Site</t>
        </is>
      </c>
      <c r="B4" s="46" t="inlineStr">
        <is>
          <t>FR5</t>
        </is>
      </c>
    </row>
    <row r="5" ht="21.75" customHeight="1" s="39">
      <c r="A5" s="46" t="inlineStr">
        <is>
          <t>No.1 point elevation (m)</t>
        </is>
      </c>
      <c r="B5" s="61">
        <f>River_Points!G7</f>
        <v/>
      </c>
    </row>
    <row r="6" ht="21.75" customHeight="1" s="39">
      <c r="A6" s="46" t="inlineStr">
        <is>
          <t>Approx observed Q target (m3/s)</t>
        </is>
      </c>
      <c r="B6" s="61" t="n">
        <v>0.05747</v>
      </c>
    </row>
    <row r="7" ht="21.75" customHeight="1" s="39">
      <c r="A7" s="46" t="inlineStr">
        <is>
          <t>Section mean stage (m)</t>
        </is>
      </c>
      <c r="B7" s="61">
        <f>IF(COUNTA(F10:F40)=0,"",AVERAGE(F10:F40))</f>
        <v/>
      </c>
    </row>
    <row r="8" ht="21.75" customHeight="1" s="39">
      <c r="A8" s="46" t="inlineStr">
        <is>
          <t>Section mean bed elev (m)</t>
        </is>
      </c>
      <c r="B8" s="61">
        <f>IF(COUNTA(D10:D40)=0,"",AVERAGE(D10:D40))</f>
        <v/>
      </c>
      <c r="C8" s="62" t="inlineStr">
        <is>
          <t>Rod reading R (m)</t>
        </is>
      </c>
      <c r="D8" s="62" t="inlineStr">
        <is>
          <t>Point elev Z (m)</t>
        </is>
      </c>
      <c r="E8" s="62" t="inlineStr">
        <is>
          <t>Water depth d (m)</t>
        </is>
      </c>
      <c r="F8" s="62" t="inlineStr">
        <is>
          <t>Water surface elev Zw (m)</t>
        </is>
      </c>
      <c r="G8" s="62" t="inlineStr">
        <is>
          <t>Velocity (m/s)</t>
        </is>
      </c>
      <c r="H8" s="62" t="inlineStr">
        <is>
          <t>Assigned subsection width (m)</t>
        </is>
      </c>
      <c r="I8" s="62" t="inlineStr">
        <is>
          <t>Subsection area (m2)</t>
        </is>
      </c>
      <c r="J8" s="62" t="inlineStr">
        <is>
          <t>Subsection Q (m3/s)</t>
        </is>
      </c>
      <c r="K8" s="62" t="inlineStr">
        <is>
          <t>Notes</t>
        </is>
      </c>
    </row>
    <row r="9" ht="21.75" customHeight="1" s="39">
      <c r="A9" s="46" t="inlineStr">
        <is>
          <t>Computed total Q (m3/s)</t>
        </is>
      </c>
      <c r="B9" s="61">
        <f>IF(COUNTA(J10:J40)=0,"",SUM(J10:J40))</f>
        <v/>
      </c>
      <c r="C9" s="52" t="n"/>
      <c r="D9" s="54">
        <f>IF(C9="","",$B$5+($C$9-C9))</f>
        <v/>
      </c>
      <c r="E9" s="52" t="n"/>
      <c r="F9" s="54">
        <f>IF(OR(D9="",E9=""),"",D9+E9)</f>
        <v/>
      </c>
      <c r="G9" s="52" t="n"/>
      <c r="H9" s="52" t="n"/>
      <c r="I9" s="54">
        <f>IF(OR(E9="",H9=""),"",E9*H9)</f>
        <v/>
      </c>
      <c r="J9" s="54">
        <f>IF(OR(I9="",G9=""),"",I9*G9)</f>
        <v/>
      </c>
      <c r="K9" s="60" t="inlineStr">
        <is>
          <t>GNSS point on ground near river</t>
        </is>
      </c>
    </row>
    <row r="10" ht="21.75" customHeight="1" s="39">
      <c r="A10" s="63" t="inlineStr">
        <is>
          <t>No.2</t>
        </is>
      </c>
      <c r="B10" s="52" t="n">
        <v>4.3</v>
      </c>
      <c r="C10" s="52" t="n"/>
      <c r="D10" s="54">
        <f>IF(C10="","",$B$5+($C$9-C10))</f>
        <v/>
      </c>
      <c r="E10" s="52" t="n">
        <v>0.36</v>
      </c>
      <c r="F10" s="54">
        <f>IF(OR(D10="",E10=""),"",D10+E10)</f>
        <v/>
      </c>
      <c r="G10" s="52" t="n">
        <v>0.04</v>
      </c>
      <c r="H10" s="52" t="n"/>
      <c r="I10" s="54">
        <f>IF(OR(E10="",H10=""),"",E10*H10)</f>
        <v/>
      </c>
      <c r="J10" s="54">
        <f>IF(OR(I10="",G10=""),"",I10*G10)</f>
        <v/>
      </c>
      <c r="K10" s="60" t="n"/>
    </row>
    <row r="11" ht="21.75" customHeight="1" s="39">
      <c r="A11" s="43" t="inlineStr">
        <is>
          <t>Point</t>
        </is>
      </c>
      <c r="B11" s="64" t="inlineStr">
        <is>
          <t>Distance from No.1 (m)</t>
        </is>
      </c>
      <c r="C11" s="64" t="inlineStr">
        <is>
          <t>Rod reading R (m)</t>
        </is>
      </c>
      <c r="D11" s="64" t="inlineStr">
        <is>
          <t>Point/bed elev Z (m)</t>
        </is>
      </c>
      <c r="E11" s="64" t="inlineStr">
        <is>
          <t>Water depth d (m)</t>
        </is>
      </c>
      <c r="F11" s="64" t="inlineStr">
        <is>
          <t>Water surface elev Zw (m)</t>
        </is>
      </c>
      <c r="G11" s="64" t="inlineStr">
        <is>
          <t>Velocity (m/s)</t>
        </is>
      </c>
      <c r="H11" s="64" t="inlineStr">
        <is>
          <t>Mid-section width (m)</t>
        </is>
      </c>
      <c r="I11" s="64" t="inlineStr">
        <is>
          <t>Subsection area (m2)</t>
        </is>
      </c>
      <c r="J11" s="64" t="inlineStr">
        <is>
          <t>Subsection Q (m3/s)</t>
        </is>
      </c>
      <c r="K11" s="43" t="inlineStr">
        <is>
          <t>Notes</t>
        </is>
      </c>
    </row>
    <row r="12" ht="21.75" customHeight="1" s="39">
      <c r="A12" s="65" t="inlineStr">
        <is>
          <t>No.1</t>
        </is>
      </c>
      <c r="B12" s="66" t="n">
        <v>0</v>
      </c>
      <c r="C12" s="66" t="n">
        <v>1.518</v>
      </c>
      <c r="D12" s="67">
        <f>IF(C12="","",$B$5+($C$12-C12))</f>
        <v/>
      </c>
      <c r="E12" s="66" t="n"/>
      <c r="F12" s="67">
        <f>IF(OR(D12="",E12=""),"",D12+E12)</f>
        <v/>
      </c>
      <c r="G12" s="66" t="n"/>
      <c r="H12" s="68">
        <f>IF(B13="","",B13/2)</f>
        <v/>
      </c>
      <c r="I12" s="67">
        <f>IF(OR(E12="",H12=""),"",E12*H12)</f>
        <v/>
      </c>
      <c r="J12" s="67">
        <f>IF(OR(I12="",G12=""),"",I12*G12)</f>
        <v/>
      </c>
      <c r="K12" s="69" t="inlineStr">
        <is>
          <t>GNSS point on ground near river; opposite-bank distance interpreted as 6.5 m.</t>
        </is>
      </c>
    </row>
    <row r="13" ht="21.75" customHeight="1" s="39">
      <c r="A13" s="65" t="inlineStr">
        <is>
          <t>No.2</t>
        </is>
      </c>
      <c r="B13" s="66" t="n">
        <v>0.5</v>
      </c>
      <c r="C13" s="66" t="n">
        <v>1.522</v>
      </c>
      <c r="D13" s="67">
        <f>IF(C13="","",$B$5+($C$12-C13))</f>
        <v/>
      </c>
      <c r="E13" s="66" t="n">
        <v>0.04</v>
      </c>
      <c r="F13" s="67">
        <f>IF(OR(D13="",E13=""),"",D13+E13)</f>
        <v/>
      </c>
      <c r="G13" s="66" t="n"/>
      <c r="H13" s="68">
        <f>IF(OR(B14="",B12=""),"", (B14-B12)/2)</f>
        <v/>
      </c>
      <c r="I13" s="67">
        <f>IF(OR(E13="",H13=""),"",E13*H13)</f>
        <v/>
      </c>
      <c r="J13" s="67">
        <f>IF(OR(I13="",G13=""),"",I13*G13)</f>
        <v/>
      </c>
      <c r="K13" s="69" t="inlineStr">
        <is>
          <t>Velocity not measured/unclear in field note.</t>
        </is>
      </c>
    </row>
    <row r="14" ht="21.75" customHeight="1" s="39">
      <c r="A14" s="65" t="inlineStr">
        <is>
          <t>No.3</t>
        </is>
      </c>
      <c r="B14" s="66" t="n">
        <v>1.5</v>
      </c>
      <c r="C14" s="66" t="n">
        <v>1.615</v>
      </c>
      <c r="D14" s="67">
        <f>IF(C14="","",$B$5+($C$12-C14))</f>
        <v/>
      </c>
      <c r="E14" s="66" t="n">
        <v>0.14</v>
      </c>
      <c r="F14" s="67">
        <f>IF(OR(D14="",E14=""),"",D14+E14)</f>
        <v/>
      </c>
      <c r="G14" s="66" t="n">
        <v>0.06</v>
      </c>
      <c r="H14" s="68">
        <f>IF(OR(B15="",B13=""),"", (B15-B13)/2)</f>
        <v/>
      </c>
      <c r="I14" s="67">
        <f>IF(OR(E14="",H14=""),"",E14*H14)</f>
        <v/>
      </c>
      <c r="J14" s="67">
        <f>IF(OR(I14="",G14=""),"",I14*G14)</f>
        <v/>
      </c>
      <c r="K14" s="69" t="n"/>
    </row>
    <row r="15" ht="21.75" customHeight="1" s="39">
      <c r="A15" s="65" t="inlineStr">
        <is>
          <t>No.4</t>
        </is>
      </c>
      <c r="B15" s="66" t="n">
        <v>2.5</v>
      </c>
      <c r="C15" s="66" t="n">
        <v>1.687</v>
      </c>
      <c r="D15" s="67">
        <f>IF(C15="","",$B$5+($C$12-C15))</f>
        <v/>
      </c>
      <c r="E15" s="66" t="n">
        <v>0.21</v>
      </c>
      <c r="F15" s="67">
        <f>IF(OR(D15="",E15=""),"",D15+E15)</f>
        <v/>
      </c>
      <c r="G15" s="66" t="n">
        <v>0.016</v>
      </c>
      <c r="H15" s="68">
        <f>IF(OR(B16="",B14=""),"", (B16-B14)/2)</f>
        <v/>
      </c>
      <c r="I15" s="67">
        <f>IF(OR(E15="",H15=""),"",E15*H15)</f>
        <v/>
      </c>
      <c r="J15" s="67">
        <f>IF(OR(I15="",G15=""),"",I15*G15)</f>
        <v/>
      </c>
      <c r="K15" s="69" t="n"/>
    </row>
    <row r="16" ht="21.75" customHeight="1" s="39">
      <c r="A16" s="65" t="inlineStr">
        <is>
          <t>No.5</t>
        </is>
      </c>
      <c r="B16" s="66" t="n">
        <v>3.5</v>
      </c>
      <c r="C16" s="66" t="n">
        <v>1.788</v>
      </c>
      <c r="D16" s="67">
        <f>IF(C16="","",$B$5+($C$12-C16))</f>
        <v/>
      </c>
      <c r="E16" s="66" t="n">
        <v>0.21</v>
      </c>
      <c r="F16" s="67">
        <f>IF(OR(D16="",E16=""),"",D16+E16)</f>
        <v/>
      </c>
      <c r="G16" s="66" t="n">
        <v>0.083</v>
      </c>
      <c r="H16" s="68">
        <f>IF(OR(B17="",B15=""),"", (B17-B15)/2)</f>
        <v/>
      </c>
      <c r="I16" s="67">
        <f>IF(OR(E16="",H16=""),"",E16*H16)</f>
        <v/>
      </c>
      <c r="J16" s="67">
        <f>IF(OR(I16="",G16=""),"",I16*G16)</f>
        <v/>
      </c>
      <c r="K16" s="69" t="n"/>
    </row>
    <row r="17" ht="21.75" customHeight="1" s="39">
      <c r="A17" s="71" t="inlineStr">
        <is>
          <t>No.6</t>
        </is>
      </c>
      <c r="B17" s="72" t="n">
        <v>4.5</v>
      </c>
      <c r="C17" s="72" t="n">
        <v>1.72</v>
      </c>
      <c r="D17" s="73">
        <f>IF(C17="","",$B$5+($C$12-C17))</f>
        <v/>
      </c>
      <c r="E17" s="72" t="n">
        <v>0.26</v>
      </c>
      <c r="F17" s="73">
        <f>IF(OR(D17="",E17=""),"",D17+E17)</f>
        <v/>
      </c>
      <c r="G17" s="72" t="n">
        <v>0.038</v>
      </c>
      <c r="H17" s="73">
        <f>IF(OR(B18="",B16=""),"", (B18-B16)/2)</f>
        <v/>
      </c>
      <c r="I17" s="73">
        <f>IF(OR(E17="",H17=""),"",E17*H17)</f>
        <v/>
      </c>
      <c r="J17" s="73">
        <f>IF(OR(I17="",G17=""),"",I17*G17)</f>
        <v/>
      </c>
      <c r="K17" s="69" t="n"/>
    </row>
    <row r="18" ht="21.75" customHeight="1" s="39">
      <c r="A18" s="80" t="inlineStr">
        <is>
          <t>No.7</t>
        </is>
      </c>
      <c r="B18" s="70" t="n">
        <v>5.5</v>
      </c>
      <c r="C18" s="70" t="n">
        <v>2.052</v>
      </c>
      <c r="D18" s="70">
        <f>IF(C18="","",$B$5+($C$12-C18))</f>
        <v/>
      </c>
      <c r="E18" s="70" t="n">
        <v>0.575</v>
      </c>
      <c r="F18" s="70">
        <f>IF(OR(D18="",E18=""),"",D18+E18)</f>
        <v/>
      </c>
      <c r="G18" s="70" t="n">
        <v>0.032</v>
      </c>
      <c r="H18" s="70">
        <f>IF(OR(B18="",B17=""),"", (B18-B17))</f>
        <v/>
      </c>
      <c r="I18" s="70">
        <f>IF(OR(E18="",H18=""),"",E18*H18)</f>
        <v/>
      </c>
      <c r="J18" s="70">
        <f>IF(OR(I18="",G18=""),"",I18*G18)</f>
        <v/>
      </c>
    </row>
    <row r="19" ht="21.75" customHeight="1" s="39">
      <c r="B19" s="70" t="n"/>
      <c r="C19" s="70" t="n"/>
      <c r="D19" s="70" t="n"/>
      <c r="E19" s="70" t="n"/>
      <c r="F19" s="70" t="n"/>
      <c r="G19" s="70" t="n"/>
      <c r="H19" s="70" t="n"/>
      <c r="I19" s="70" t="n"/>
      <c r="J19" s="70" t="n"/>
    </row>
    <row r="20" ht="21.75" customHeight="1" s="39">
      <c r="B20" s="70" t="n"/>
      <c r="C20" s="70" t="n"/>
      <c r="D20" s="70" t="n"/>
      <c r="E20" s="70" t="n"/>
      <c r="F20" s="70" t="n"/>
      <c r="G20" s="70" t="n"/>
      <c r="H20" s="70" t="n"/>
      <c r="I20" s="70" t="n"/>
      <c r="J20" s="70" t="n"/>
    </row>
    <row r="21" ht="21.75" customHeight="1" s="39">
      <c r="B21" s="70" t="n"/>
      <c r="C21" s="70" t="n"/>
      <c r="D21" s="70" t="n"/>
      <c r="E21" s="70" t="n"/>
      <c r="F21" s="70" t="n"/>
      <c r="G21" s="70" t="n"/>
      <c r="H21" s="70" t="n"/>
      <c r="I21" s="70" t="n"/>
      <c r="J21" s="70" t="n"/>
    </row>
    <row r="22" ht="21.75" customHeight="1" s="39">
      <c r="B22" s="70" t="n"/>
      <c r="C22" s="70" t="n"/>
      <c r="D22" s="70" t="n"/>
      <c r="E22" s="70" t="n"/>
      <c r="F22" s="70" t="n"/>
      <c r="G22" s="70" t="n"/>
      <c r="H22" s="70" t="n"/>
      <c r="I22" s="70" t="n"/>
      <c r="J22" s="70" t="n"/>
    </row>
    <row r="23" ht="21.75" customHeight="1" s="39">
      <c r="B23" s="70" t="n"/>
      <c r="C23" s="70" t="n"/>
      <c r="D23" s="70" t="n"/>
      <c r="E23" s="70" t="n"/>
      <c r="F23" s="70" t="n"/>
      <c r="G23" s="70" t="n"/>
      <c r="H23" s="70" t="n"/>
      <c r="I23" s="70" t="n"/>
      <c r="J23" s="70" t="n"/>
    </row>
    <row r="24" ht="21.75" customHeight="1" s="39">
      <c r="B24" s="70" t="n"/>
      <c r="C24" s="70" t="n"/>
      <c r="D24" s="70" t="n"/>
      <c r="E24" s="70" t="n"/>
      <c r="F24" s="70" t="n"/>
      <c r="G24" s="70" t="n"/>
      <c r="H24" s="70" t="n"/>
      <c r="I24" s="70" t="n"/>
      <c r="J24" s="70" t="n"/>
    </row>
    <row r="25" ht="21.75" customHeight="1" s="39">
      <c r="B25" s="70" t="n"/>
      <c r="C25" s="70" t="n"/>
      <c r="D25" s="70" t="n"/>
      <c r="E25" s="70" t="n"/>
      <c r="F25" s="70" t="n"/>
      <c r="G25" s="70" t="n"/>
      <c r="H25" s="70" t="n"/>
      <c r="I25" s="70" t="n"/>
      <c r="J25" s="70" t="n"/>
    </row>
    <row r="26" ht="21.75" customHeight="1" s="39">
      <c r="B26" s="70" t="n"/>
      <c r="C26" s="70" t="n"/>
      <c r="D26" s="70" t="n"/>
      <c r="E26" s="70" t="n"/>
      <c r="F26" s="70" t="n"/>
      <c r="G26" s="70" t="n"/>
      <c r="H26" s="70" t="n"/>
      <c r="I26" s="70" t="n"/>
      <c r="J26" s="70" t="n"/>
    </row>
    <row r="27" ht="21.75" customHeight="1" s="39">
      <c r="B27" s="70" t="n"/>
      <c r="C27" s="70" t="n"/>
      <c r="D27" s="70" t="n"/>
      <c r="E27" s="70" t="n"/>
      <c r="F27" s="70" t="n"/>
      <c r="G27" s="70" t="n"/>
      <c r="H27" s="70" t="n"/>
      <c r="I27" s="70" t="n"/>
      <c r="J27" s="70" t="n"/>
    </row>
    <row r="28" ht="21.75" customHeight="1" s="39">
      <c r="B28" s="70" t="n"/>
      <c r="C28" s="70" t="n"/>
      <c r="D28" s="70" t="n"/>
      <c r="E28" s="70" t="n"/>
      <c r="F28" s="70" t="n"/>
      <c r="G28" s="70" t="n"/>
      <c r="H28" s="70" t="n"/>
      <c r="I28" s="70" t="n"/>
      <c r="J28" s="70" t="n"/>
    </row>
    <row r="29" ht="21.75" customHeight="1" s="39">
      <c r="B29" s="70" t="n"/>
      <c r="C29" s="70" t="n"/>
      <c r="D29" s="70" t="n"/>
      <c r="E29" s="70" t="n"/>
      <c r="F29" s="70" t="n"/>
      <c r="G29" s="70" t="n"/>
      <c r="H29" s="70" t="n"/>
      <c r="I29" s="70" t="n"/>
      <c r="J29" s="70" t="n"/>
    </row>
    <row r="30" ht="21.75" customHeight="1" s="39">
      <c r="B30" s="70" t="n"/>
      <c r="C30" s="70" t="n"/>
      <c r="D30" s="70" t="n"/>
      <c r="E30" s="70" t="n"/>
      <c r="F30" s="70" t="n"/>
      <c r="G30" s="70" t="n"/>
      <c r="H30" s="70" t="n"/>
      <c r="I30" s="70" t="n"/>
      <c r="J30" s="70" t="n"/>
    </row>
    <row r="31" ht="21.75" customHeight="1" s="39">
      <c r="B31" s="70" t="n"/>
      <c r="C31" s="70" t="n"/>
      <c r="D31" s="70" t="n"/>
      <c r="E31" s="70" t="n"/>
      <c r="F31" s="70" t="n"/>
      <c r="G31" s="70" t="n"/>
      <c r="H31" s="70" t="n"/>
      <c r="I31" s="70" t="n"/>
      <c r="J31" s="70" t="n"/>
    </row>
    <row r="32" ht="21.75" customHeight="1" s="39">
      <c r="B32" s="70" t="n"/>
      <c r="C32" s="70" t="n"/>
      <c r="D32" s="70" t="n"/>
      <c r="E32" s="70" t="n"/>
      <c r="F32" s="70" t="n"/>
      <c r="G32" s="70" t="n"/>
      <c r="H32" s="70" t="n"/>
      <c r="I32" s="70" t="n"/>
      <c r="J32" s="70" t="n"/>
    </row>
    <row r="33" ht="21.75" customHeight="1" s="39">
      <c r="B33" s="70" t="n"/>
      <c r="C33" s="70" t="n"/>
      <c r="D33" s="70" t="n"/>
      <c r="E33" s="70" t="n"/>
      <c r="F33" s="70" t="n"/>
      <c r="G33" s="70" t="n"/>
      <c r="H33" s="70" t="n"/>
      <c r="I33" s="70" t="n"/>
      <c r="J33" s="70" t="n"/>
    </row>
    <row r="34" ht="21.75" customHeight="1" s="39">
      <c r="B34" s="70" t="n"/>
      <c r="C34" s="70" t="n"/>
      <c r="D34" s="70" t="n"/>
      <c r="E34" s="70" t="n"/>
      <c r="F34" s="70" t="n"/>
      <c r="G34" s="70" t="n"/>
      <c r="H34" s="70" t="n"/>
      <c r="I34" s="70" t="n"/>
      <c r="J34" s="70" t="n"/>
    </row>
    <row r="35" ht="21.75" customHeight="1" s="39">
      <c r="B35" s="70" t="n"/>
      <c r="C35" s="70" t="n"/>
      <c r="D35" s="70" t="n"/>
      <c r="E35" s="70" t="n"/>
      <c r="F35" s="70" t="n"/>
      <c r="G35" s="70" t="n"/>
      <c r="H35" s="70" t="n"/>
      <c r="I35" s="70" t="n"/>
      <c r="J35" s="70" t="n"/>
    </row>
    <row r="36" ht="21.75" customHeight="1" s="39">
      <c r="B36" s="70" t="n"/>
      <c r="C36" s="70" t="n"/>
      <c r="D36" s="70" t="n"/>
      <c r="E36" s="70" t="n"/>
      <c r="F36" s="70" t="n"/>
      <c r="G36" s="70" t="n"/>
      <c r="H36" s="70" t="n"/>
      <c r="I36" s="70" t="n"/>
      <c r="J36" s="70" t="n"/>
    </row>
    <row r="37" ht="21.75" customHeight="1" s="39">
      <c r="B37" s="70" t="n"/>
      <c r="C37" s="70" t="n"/>
      <c r="D37" s="70" t="n"/>
      <c r="E37" s="70" t="n"/>
      <c r="F37" s="70" t="n"/>
      <c r="G37" s="70" t="n"/>
      <c r="H37" s="70" t="n"/>
      <c r="I37" s="70" t="n"/>
      <c r="J37" s="70" t="n"/>
    </row>
    <row r="38" ht="21.75" customHeight="1" s="39">
      <c r="B38" s="70" t="n"/>
      <c r="C38" s="70" t="n"/>
      <c r="D38" s="70" t="n"/>
      <c r="E38" s="70" t="n"/>
      <c r="F38" s="70" t="n"/>
      <c r="G38" s="70" t="n"/>
      <c r="H38" s="70" t="n"/>
      <c r="I38" s="70" t="n"/>
      <c r="J38" s="70" t="n"/>
    </row>
    <row r="39" ht="21.75" customHeight="1" s="39">
      <c r="B39" s="70" t="n"/>
      <c r="C39" s="70" t="n"/>
      <c r="D39" s="70" t="n"/>
      <c r="E39" s="70" t="n"/>
      <c r="F39" s="70" t="n"/>
      <c r="G39" s="70" t="n"/>
      <c r="H39" s="70" t="n"/>
      <c r="I39" s="70" t="n"/>
      <c r="J39" s="70" t="n"/>
    </row>
    <row r="40" ht="21.75" customHeight="1" s="39"/>
    <row r="41" ht="21.75" customHeight="1" s="39"/>
    <row r="42" ht="21.75" customHeight="1" s="39"/>
    <row r="43" ht="21.75" customHeight="1" s="39"/>
    <row r="44" ht="21.75" customHeight="1" s="39"/>
  </sheetData>
  <mergeCells count="1">
    <mergeCell ref="A1:K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K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1" customWidth="1" style="80" min="1" max="1"/>
    <col width="18" customWidth="1" style="80" min="2" max="2"/>
    <col width="16" customWidth="1" style="80" min="3" max="3"/>
    <col width="18" customWidth="1" style="80" min="4" max="4"/>
    <col width="14" customWidth="1" style="80" min="5" max="5"/>
    <col width="18" customWidth="1" style="80" min="6" max="6"/>
    <col width="14" customWidth="1" style="80" min="7" max="7"/>
    <col width="16" customWidth="1" style="80" min="8" max="10"/>
    <col width="24" customWidth="1" style="80" min="11" max="11"/>
  </cols>
  <sheetData>
    <row r="1" ht="21.75" customHeight="1" s="39">
      <c r="A1" s="40" t="inlineStr">
        <is>
          <t>FR6 cross-section reduction</t>
        </is>
      </c>
    </row>
    <row r="2" ht="21.75" customHeight="1" s="39"/>
    <row r="3" ht="21.75" customHeight="1" s="39">
      <c r="A3" s="46" t="inlineStr">
        <is>
          <t>Metadata</t>
        </is>
      </c>
      <c r="B3" s="46" t="inlineStr">
        <is>
          <t>Value</t>
        </is>
      </c>
    </row>
    <row r="4" ht="21.75" customHeight="1" s="39">
      <c r="A4" s="46" t="inlineStr">
        <is>
          <t>Site</t>
        </is>
      </c>
      <c r="B4" s="46" t="inlineStr">
        <is>
          <t>FR6</t>
        </is>
      </c>
    </row>
    <row r="5" ht="21.75" customHeight="1" s="39">
      <c r="A5" s="46" t="inlineStr">
        <is>
          <t>No.1 point elevation (m)</t>
        </is>
      </c>
      <c r="B5" s="61">
        <f>River_Points!G8</f>
        <v/>
      </c>
    </row>
    <row r="6" ht="21.75" customHeight="1" s="39">
      <c r="A6" s="46" t="inlineStr">
        <is>
          <t>Approx observed Q target (m3/s)</t>
        </is>
      </c>
      <c r="B6" s="61" t="n">
        <v>0.1943525</v>
      </c>
    </row>
    <row r="7" ht="21.75" customHeight="1" s="39">
      <c r="A7" s="46" t="inlineStr">
        <is>
          <t>Section mean stage (m)</t>
        </is>
      </c>
      <c r="B7" s="61">
        <f>IF(COUNTA(F10:F40)=0,"",AVERAGE(F10:F40))</f>
        <v/>
      </c>
    </row>
    <row r="8" ht="21.75" customHeight="1" s="39">
      <c r="A8" s="46" t="inlineStr">
        <is>
          <t>Section mean bed elev (m)</t>
        </is>
      </c>
      <c r="B8" s="61">
        <f>IF(COUNTA(D10:D40)=0,"",AVERAGE(D10:D40))</f>
        <v/>
      </c>
      <c r="C8" s="62" t="inlineStr">
        <is>
          <t>Rod reading R (m)</t>
        </is>
      </c>
      <c r="D8" s="62" t="inlineStr">
        <is>
          <t>Point elev Z (m)</t>
        </is>
      </c>
      <c r="E8" s="62" t="inlineStr">
        <is>
          <t>Water depth d (m)</t>
        </is>
      </c>
      <c r="F8" s="62" t="inlineStr">
        <is>
          <t>Water surface elev Zw (m)</t>
        </is>
      </c>
      <c r="G8" s="62" t="inlineStr">
        <is>
          <t>Velocity (m/s)</t>
        </is>
      </c>
      <c r="H8" s="62" t="inlineStr">
        <is>
          <t>Assigned subsection width (m)</t>
        </is>
      </c>
      <c r="I8" s="62" t="inlineStr">
        <is>
          <t>Subsection area (m2)</t>
        </is>
      </c>
      <c r="J8" s="62" t="inlineStr">
        <is>
          <t>Subsection Q (m3/s)</t>
        </is>
      </c>
      <c r="K8" s="62" t="inlineStr">
        <is>
          <t>Notes</t>
        </is>
      </c>
    </row>
    <row r="9" ht="21.75" customHeight="1" s="39">
      <c r="A9" s="46" t="inlineStr">
        <is>
          <t>Computed total Q (m3/s)</t>
        </is>
      </c>
      <c r="B9" s="61">
        <f>IF(COUNTA(J10:J40)=0,"",SUM(J10:J40))</f>
        <v/>
      </c>
      <c r="C9" s="52" t="n"/>
      <c r="D9" s="54">
        <f>IF(C9="","",$B$5+($C$9-C9))</f>
        <v/>
      </c>
      <c r="E9" s="52" t="n"/>
      <c r="F9" s="54">
        <f>IF(OR(D9="",E9=""),"",D9+E9)</f>
        <v/>
      </c>
      <c r="G9" s="52" t="n"/>
      <c r="H9" s="52" t="n"/>
      <c r="I9" s="54">
        <f>IF(OR(E9="",H9=""),"",E9*H9)</f>
        <v/>
      </c>
      <c r="J9" s="54">
        <f>IF(OR(I9="",G9=""),"",I9*G9)</f>
        <v/>
      </c>
      <c r="K9" s="60" t="inlineStr">
        <is>
          <t>GNSS point on ground near river</t>
        </is>
      </c>
    </row>
    <row r="10" ht="21.75" customHeight="1" s="39">
      <c r="A10" s="63" t="inlineStr">
        <is>
          <t>No.2</t>
        </is>
      </c>
      <c r="B10" s="52" t="n">
        <v>4.3</v>
      </c>
      <c r="C10" s="52" t="n"/>
      <c r="D10" s="54">
        <f>IF(C10="","",$B$5+($C$9-C10))</f>
        <v/>
      </c>
      <c r="E10" s="52" t="n">
        <v>0.36</v>
      </c>
      <c r="F10" s="54">
        <f>IF(OR(D10="",E10=""),"",D10+E10)</f>
        <v/>
      </c>
      <c r="G10" s="52" t="n">
        <v>0.04</v>
      </c>
      <c r="H10" s="52" t="n"/>
      <c r="I10" s="54">
        <f>IF(OR(E10="",H10=""),"",E10*H10)</f>
        <v/>
      </c>
      <c r="J10" s="54">
        <f>IF(OR(I10="",G10=""),"",I10*G10)</f>
        <v/>
      </c>
      <c r="K10" s="60" t="n"/>
    </row>
    <row r="11" ht="21.75" customHeight="1" s="39">
      <c r="A11" s="43" t="inlineStr">
        <is>
          <t>Point</t>
        </is>
      </c>
      <c r="B11" s="64" t="inlineStr">
        <is>
          <t>Distance from No.1 (m)</t>
        </is>
      </c>
      <c r="C11" s="64" t="inlineStr">
        <is>
          <t>Rod reading R (m)</t>
        </is>
      </c>
      <c r="D11" s="64" t="inlineStr">
        <is>
          <t>Point/bed elev Z (m)</t>
        </is>
      </c>
      <c r="E11" s="64" t="inlineStr">
        <is>
          <t>Water depth d (m)</t>
        </is>
      </c>
      <c r="F11" s="64" t="inlineStr">
        <is>
          <t>Water surface elev Zw (m)</t>
        </is>
      </c>
      <c r="G11" s="64" t="inlineStr">
        <is>
          <t>Velocity (m/s)</t>
        </is>
      </c>
      <c r="H11" s="64" t="inlineStr">
        <is>
          <t>Mid-section width (m)</t>
        </is>
      </c>
      <c r="I11" s="64" t="inlineStr">
        <is>
          <t>Subsection area (m2)</t>
        </is>
      </c>
      <c r="J11" s="64" t="inlineStr">
        <is>
          <t>Subsection Q (m3/s)</t>
        </is>
      </c>
      <c r="K11" s="43" t="inlineStr">
        <is>
          <t>Notes</t>
        </is>
      </c>
    </row>
    <row r="12" ht="21.75" customHeight="1" s="39">
      <c r="A12" s="65" t="inlineStr">
        <is>
          <t>No.1</t>
        </is>
      </c>
      <c r="B12" s="66" t="n">
        <v>0</v>
      </c>
      <c r="C12" s="66" t="n">
        <v>1.178</v>
      </c>
      <c r="D12" s="67">
        <f>IF(C12="","",$B$5+($C$12-C12))</f>
        <v/>
      </c>
      <c r="E12" s="66" t="n"/>
      <c r="F12" s="67">
        <f>IF(OR(D12="",E12=""),"",D12+E12)</f>
        <v/>
      </c>
      <c r="G12" s="66" t="n"/>
      <c r="H12" s="68">
        <f>IF(B13="","",B13/2)</f>
        <v/>
      </c>
      <c r="I12" s="67">
        <f>IF(OR(E12="",H12=""),"",E12*H12)</f>
        <v/>
      </c>
      <c r="J12" s="67">
        <f>IF(OR(I12="",G12=""),"",I12*G12)</f>
        <v/>
      </c>
      <c r="K12" s="69" t="inlineStr">
        <is>
          <t>GNSS point on ground near river; opposite-bank distance interpreted as 14 m.</t>
        </is>
      </c>
    </row>
    <row r="13" ht="21.75" customHeight="1" s="39">
      <c r="A13" s="65" t="inlineStr">
        <is>
          <t>No.8</t>
        </is>
      </c>
      <c r="B13" s="66" t="n">
        <v>1</v>
      </c>
      <c r="C13" s="66" t="n">
        <v>1.318</v>
      </c>
      <c r="D13" s="67">
        <f>IF(C13="","",$B$5+($C$12-C13))</f>
        <v/>
      </c>
      <c r="E13" s="66" t="n">
        <v>0.185</v>
      </c>
      <c r="F13" s="67">
        <f>IF(OR(D13="",E13=""),"",D13+E13)</f>
        <v/>
      </c>
      <c r="G13" s="66" t="n">
        <v>0.003</v>
      </c>
      <c r="H13" s="68">
        <f>IF(OR(B14="",B12=""),"", (B14-B12)/2)</f>
        <v/>
      </c>
      <c r="I13" s="67">
        <f>IF(OR(E13="",H13=""),"",E13*H13)</f>
        <v/>
      </c>
      <c r="J13" s="67">
        <f>IF(OR(I13="",G13=""),"",I13*G13)</f>
        <v/>
      </c>
      <c r="K13" s="69" t="inlineStr">
        <is>
          <t>Stationing converted from opposite-bank distances in notebook.</t>
        </is>
      </c>
    </row>
    <row r="14" ht="21.75" customHeight="1" s="39">
      <c r="A14" s="65" t="inlineStr">
        <is>
          <t>No.7</t>
        </is>
      </c>
      <c r="B14" s="66" t="n">
        <v>3</v>
      </c>
      <c r="C14" s="66" t="n">
        <v>1.93</v>
      </c>
      <c r="D14" s="67">
        <f>IF(C14="","",$B$5+($C$12-C14))</f>
        <v/>
      </c>
      <c r="E14" s="66" t="n">
        <v>0.623</v>
      </c>
      <c r="F14" s="67">
        <f>IF(OR(D14="",E14=""),"",D14+E14)</f>
        <v/>
      </c>
      <c r="G14" s="66" t="n">
        <v>0</v>
      </c>
      <c r="H14" s="68">
        <f>IF(OR(B15="",B13=""),"", (B15-B13)/2)</f>
        <v/>
      </c>
      <c r="I14" s="67">
        <f>IF(OR(E14="",H14=""),"",E14*H14)</f>
        <v/>
      </c>
      <c r="J14" s="67">
        <f>IF(OR(I14="",G14=""),"",I14*G14)</f>
        <v/>
      </c>
      <c r="K14" s="69" t="n"/>
    </row>
    <row r="15" ht="21.75" customHeight="1" s="39">
      <c r="A15" s="65" t="inlineStr">
        <is>
          <t>No.6</t>
        </is>
      </c>
      <c r="B15" s="66" t="n">
        <v>5</v>
      </c>
      <c r="C15" s="66" t="n">
        <v>2.335</v>
      </c>
      <c r="D15" s="67">
        <f>IF(C15="","",$B$5+($C$12-C15))</f>
        <v/>
      </c>
      <c r="E15" s="66" t="n">
        <v>1.013</v>
      </c>
      <c r="F15" s="67">
        <f>IF(OR(D15="",E15=""),"",D15+E15)</f>
        <v/>
      </c>
      <c r="G15" s="66" t="n">
        <v>0.022</v>
      </c>
      <c r="H15" s="68">
        <f>IF(OR(B16="",B14=""),"", (B16-B14)/2)</f>
        <v/>
      </c>
      <c r="I15" s="67">
        <f>IF(OR(E15="",H15=""),"",E15*H15)</f>
        <v/>
      </c>
      <c r="J15" s="67">
        <f>IF(OR(I15="",G15=""),"",I15*G15)</f>
        <v/>
      </c>
      <c r="K15" s="69" t="n"/>
    </row>
    <row r="16" ht="21.75" customHeight="1" s="39">
      <c r="A16" s="65" t="inlineStr">
        <is>
          <t>No.5</t>
        </is>
      </c>
      <c r="B16" s="66" t="n">
        <v>7</v>
      </c>
      <c r="C16" s="66" t="n">
        <v>2.345</v>
      </c>
      <c r="D16" s="67">
        <f>IF(C16="","",$B$5+($C$12-C16))</f>
        <v/>
      </c>
      <c r="E16" s="66" t="n">
        <v>1.023</v>
      </c>
      <c r="F16" s="67">
        <f>IF(OR(D16="",E16=""),"",D16+E16)</f>
        <v/>
      </c>
      <c r="G16" s="66" t="n">
        <v>0.033</v>
      </c>
      <c r="H16" s="68">
        <f>IF(OR(B17="",B15=""),"", (B17-B15)/2)</f>
        <v/>
      </c>
      <c r="I16" s="67">
        <f>IF(OR(E16="",H16=""),"",E16*H16)</f>
        <v/>
      </c>
      <c r="J16" s="67">
        <f>IF(OR(I16="",G16=""),"",I16*G16)</f>
        <v/>
      </c>
      <c r="K16" s="69" t="n"/>
    </row>
    <row r="17" ht="21.75" customHeight="1" s="39">
      <c r="A17" s="71" t="inlineStr">
        <is>
          <t>No.4</t>
        </is>
      </c>
      <c r="B17" s="72" t="n">
        <v>9</v>
      </c>
      <c r="C17" s="72" t="n">
        <v>1.762</v>
      </c>
      <c r="D17" s="73">
        <f>IF(C17="","",$B$5+($C$12-C17))</f>
        <v/>
      </c>
      <c r="E17" s="72" t="n">
        <v>0.205</v>
      </c>
      <c r="F17" s="73">
        <f>IF(OR(D17="",E17=""),"",D17+E17)</f>
        <v/>
      </c>
      <c r="G17" s="72" t="n">
        <v>0.041</v>
      </c>
      <c r="H17" s="73">
        <f>IF(OR(B18="",B16=""),"", (B18-B16)/2)</f>
        <v/>
      </c>
      <c r="I17" s="73">
        <f>IF(OR(E17="",H17=""),"",E17*H17)</f>
        <v/>
      </c>
      <c r="J17" s="73">
        <f>IF(OR(I17="",G17=""),"",I17*G17)</f>
        <v/>
      </c>
      <c r="K17" s="69" t="inlineStr">
        <is>
          <t>Rod reading for No.4 is somewhat uncertain in photo; verify later if needed.</t>
        </is>
      </c>
    </row>
    <row r="18" ht="21.75" customHeight="1" s="39">
      <c r="A18" s="80" t="inlineStr">
        <is>
          <t>No.3</t>
        </is>
      </c>
      <c r="B18" s="70" t="n">
        <v>11</v>
      </c>
      <c r="C18" s="70" t="n">
        <v>1.762</v>
      </c>
      <c r="D18" s="70">
        <f>IF(C18="","",$B$5+($C$12-C18))</f>
        <v/>
      </c>
      <c r="E18" s="70" t="n">
        <v>0.425</v>
      </c>
      <c r="F18" s="70">
        <f>IF(OR(D18="",E18=""),"",D18+E18)</f>
        <v/>
      </c>
      <c r="G18" s="70" t="n">
        <v>0.07000000000000001</v>
      </c>
      <c r="H18" s="70">
        <f>IF(OR(B19="",B17=""),"", (B19-B17)/2)</f>
        <v/>
      </c>
      <c r="I18" s="70">
        <f>IF(OR(E18="",H18=""),"",E18*H18)</f>
        <v/>
      </c>
      <c r="J18" s="70">
        <f>IF(OR(I18="",G18=""),"",I18*G18)</f>
        <v/>
      </c>
    </row>
    <row r="19" ht="21.75" customHeight="1" s="39">
      <c r="A19" s="80" t="inlineStr">
        <is>
          <t>No.2</t>
        </is>
      </c>
      <c r="B19" s="70" t="n">
        <v>13</v>
      </c>
      <c r="C19" s="70" t="n">
        <v>1.492</v>
      </c>
      <c r="D19" s="70">
        <f>IF(C19="","",$B$5+($C$12-C19))</f>
        <v/>
      </c>
      <c r="E19" s="70" t="n">
        <v>0.16</v>
      </c>
      <c r="F19" s="70">
        <f>IF(OR(D19="",E19=""),"",D19+E19)</f>
        <v/>
      </c>
      <c r="G19" s="70" t="n">
        <v>0.016</v>
      </c>
      <c r="H19" s="70">
        <f>IF(OR(B19="",B18=""),"", (B19-B18))</f>
        <v/>
      </c>
      <c r="I19" s="70">
        <f>IF(OR(E19="",H19=""),"",E19*H19)</f>
        <v/>
      </c>
      <c r="J19" s="70">
        <f>IF(OR(I19="",G19=""),"",I19*G19)</f>
        <v/>
      </c>
    </row>
    <row r="20" ht="21.75" customHeight="1" s="39">
      <c r="B20" s="70" t="n"/>
      <c r="C20" s="70" t="n"/>
      <c r="D20" s="70" t="n"/>
      <c r="E20" s="70" t="n"/>
      <c r="F20" s="70" t="n"/>
      <c r="G20" s="70" t="n"/>
      <c r="H20" s="70" t="n"/>
      <c r="I20" s="70" t="n"/>
      <c r="J20" s="70" t="n"/>
    </row>
    <row r="21" ht="21.75" customHeight="1" s="39">
      <c r="B21" s="70" t="n"/>
      <c r="C21" s="70" t="n"/>
      <c r="D21" s="70" t="n"/>
      <c r="E21" s="70" t="n"/>
      <c r="F21" s="70" t="n"/>
      <c r="G21" s="70" t="n"/>
      <c r="H21" s="70" t="n"/>
      <c r="I21" s="70" t="n"/>
      <c r="J21" s="70" t="n"/>
    </row>
    <row r="22" ht="21.75" customHeight="1" s="39">
      <c r="B22" s="70" t="n"/>
      <c r="C22" s="70" t="n"/>
      <c r="D22" s="70" t="n"/>
      <c r="E22" s="70" t="n"/>
      <c r="F22" s="70" t="n"/>
      <c r="G22" s="70" t="n"/>
      <c r="H22" s="70" t="n"/>
      <c r="I22" s="70" t="n"/>
      <c r="J22" s="70" t="n"/>
    </row>
    <row r="23" ht="21.75" customHeight="1" s="39">
      <c r="B23" s="70" t="n"/>
      <c r="C23" s="70" t="n"/>
      <c r="D23" s="70" t="n"/>
      <c r="E23" s="70" t="n"/>
      <c r="F23" s="70" t="n"/>
      <c r="G23" s="70" t="n"/>
      <c r="H23" s="70" t="n"/>
      <c r="I23" s="70" t="n"/>
      <c r="J23" s="70" t="n"/>
    </row>
    <row r="24" ht="21.75" customHeight="1" s="39">
      <c r="B24" s="70" t="n"/>
      <c r="C24" s="70" t="n"/>
      <c r="D24" s="70" t="n"/>
      <c r="E24" s="70" t="n"/>
      <c r="F24" s="70" t="n"/>
      <c r="G24" s="70" t="n"/>
      <c r="H24" s="70" t="n"/>
      <c r="I24" s="70" t="n"/>
      <c r="J24" s="70" t="n"/>
    </row>
    <row r="25" ht="21.75" customHeight="1" s="39">
      <c r="B25" s="70" t="n"/>
      <c r="C25" s="70" t="n"/>
      <c r="D25" s="70" t="n"/>
      <c r="E25" s="70" t="n"/>
      <c r="F25" s="70" t="n"/>
      <c r="G25" s="70" t="n"/>
      <c r="H25" s="70" t="n"/>
      <c r="I25" s="70" t="n"/>
      <c r="J25" s="70" t="n"/>
    </row>
    <row r="26" ht="21.75" customHeight="1" s="39">
      <c r="B26" s="70" t="n"/>
      <c r="C26" s="70" t="n"/>
      <c r="D26" s="70" t="n"/>
      <c r="E26" s="70" t="n"/>
      <c r="F26" s="70" t="n"/>
      <c r="G26" s="70" t="n"/>
      <c r="H26" s="70" t="n"/>
      <c r="I26" s="70" t="n"/>
      <c r="J26" s="70" t="n"/>
    </row>
    <row r="27" ht="21.75" customHeight="1" s="39">
      <c r="B27" s="70" t="n"/>
      <c r="C27" s="70" t="n"/>
      <c r="D27" s="70" t="n"/>
      <c r="E27" s="70" t="n"/>
      <c r="F27" s="70" t="n"/>
      <c r="G27" s="70" t="n"/>
      <c r="H27" s="70" t="n"/>
      <c r="I27" s="70" t="n"/>
      <c r="J27" s="70" t="n"/>
    </row>
    <row r="28" ht="21.75" customHeight="1" s="39">
      <c r="B28" s="70" t="n"/>
      <c r="C28" s="70" t="n"/>
      <c r="D28" s="70" t="n"/>
      <c r="E28" s="70" t="n"/>
      <c r="F28" s="70" t="n"/>
      <c r="G28" s="70" t="n"/>
      <c r="H28" s="70" t="n"/>
      <c r="I28" s="70" t="n"/>
      <c r="J28" s="70" t="n"/>
    </row>
    <row r="29" ht="21.75" customHeight="1" s="39">
      <c r="B29" s="70" t="n"/>
      <c r="C29" s="70" t="n"/>
      <c r="D29" s="70" t="n"/>
      <c r="E29" s="70" t="n"/>
      <c r="F29" s="70" t="n"/>
      <c r="G29" s="70" t="n"/>
      <c r="H29" s="70" t="n"/>
      <c r="I29" s="70" t="n"/>
      <c r="J29" s="70" t="n"/>
    </row>
    <row r="30" ht="21.75" customHeight="1" s="39">
      <c r="B30" s="70" t="n"/>
      <c r="C30" s="70" t="n"/>
      <c r="D30" s="70" t="n"/>
      <c r="E30" s="70" t="n"/>
      <c r="F30" s="70" t="n"/>
      <c r="G30" s="70" t="n"/>
      <c r="H30" s="70" t="n"/>
      <c r="I30" s="70" t="n"/>
      <c r="J30" s="70" t="n"/>
    </row>
    <row r="31" ht="21.75" customHeight="1" s="39">
      <c r="B31" s="70" t="n"/>
      <c r="C31" s="70" t="n"/>
      <c r="D31" s="70" t="n"/>
      <c r="E31" s="70" t="n"/>
      <c r="F31" s="70" t="n"/>
      <c r="G31" s="70" t="n"/>
      <c r="H31" s="70" t="n"/>
      <c r="I31" s="70" t="n"/>
      <c r="J31" s="70" t="n"/>
    </row>
    <row r="32" ht="21.75" customHeight="1" s="39">
      <c r="B32" s="70" t="n"/>
      <c r="C32" s="70" t="n"/>
      <c r="D32" s="70" t="n"/>
      <c r="E32" s="70" t="n"/>
      <c r="F32" s="70" t="n"/>
      <c r="G32" s="70" t="n"/>
      <c r="H32" s="70" t="n"/>
      <c r="I32" s="70" t="n"/>
      <c r="J32" s="70" t="n"/>
    </row>
    <row r="33" ht="21.75" customHeight="1" s="39">
      <c r="B33" s="70" t="n"/>
      <c r="C33" s="70" t="n"/>
      <c r="D33" s="70" t="n"/>
      <c r="E33" s="70" t="n"/>
      <c r="F33" s="70" t="n"/>
      <c r="G33" s="70" t="n"/>
      <c r="H33" s="70" t="n"/>
      <c r="I33" s="70" t="n"/>
      <c r="J33" s="70" t="n"/>
    </row>
    <row r="34" ht="21.75" customHeight="1" s="39">
      <c r="B34" s="70" t="n"/>
      <c r="C34" s="70" t="n"/>
      <c r="D34" s="70" t="n"/>
      <c r="E34" s="70" t="n"/>
      <c r="F34" s="70" t="n"/>
      <c r="G34" s="70" t="n"/>
      <c r="H34" s="70" t="n"/>
      <c r="I34" s="70" t="n"/>
      <c r="J34" s="70" t="n"/>
    </row>
    <row r="35" ht="21.75" customHeight="1" s="39">
      <c r="B35" s="70" t="n"/>
      <c r="C35" s="70" t="n"/>
      <c r="D35" s="70" t="n"/>
      <c r="E35" s="70" t="n"/>
      <c r="F35" s="70" t="n"/>
      <c r="G35" s="70" t="n"/>
      <c r="H35" s="70" t="n"/>
      <c r="I35" s="70" t="n"/>
      <c r="J35" s="70" t="n"/>
    </row>
    <row r="36" ht="21.75" customHeight="1" s="39">
      <c r="B36" s="70" t="n"/>
      <c r="C36" s="70" t="n"/>
      <c r="D36" s="70" t="n"/>
      <c r="E36" s="70" t="n"/>
      <c r="F36" s="70" t="n"/>
      <c r="G36" s="70" t="n"/>
      <c r="H36" s="70" t="n"/>
      <c r="I36" s="70" t="n"/>
      <c r="J36" s="70" t="n"/>
    </row>
    <row r="37" ht="21.75" customHeight="1" s="39">
      <c r="B37" s="70" t="n"/>
      <c r="C37" s="70" t="n"/>
      <c r="D37" s="70" t="n"/>
      <c r="E37" s="70" t="n"/>
      <c r="F37" s="70" t="n"/>
      <c r="G37" s="70" t="n"/>
      <c r="H37" s="70" t="n"/>
      <c r="I37" s="70" t="n"/>
      <c r="J37" s="70" t="n"/>
    </row>
    <row r="38" ht="21.75" customHeight="1" s="39">
      <c r="B38" s="70" t="n"/>
      <c r="C38" s="70" t="n"/>
      <c r="D38" s="70" t="n"/>
      <c r="E38" s="70" t="n"/>
      <c r="F38" s="70" t="n"/>
      <c r="G38" s="70" t="n"/>
      <c r="H38" s="70" t="n"/>
      <c r="I38" s="70" t="n"/>
      <c r="J38" s="70" t="n"/>
    </row>
    <row r="39" ht="21.75" customHeight="1" s="39">
      <c r="B39" s="70" t="n"/>
      <c r="C39" s="70" t="n"/>
      <c r="D39" s="70" t="n"/>
      <c r="E39" s="70" t="n"/>
      <c r="F39" s="70" t="n"/>
      <c r="G39" s="70" t="n"/>
      <c r="H39" s="70" t="n"/>
      <c r="I39" s="70" t="n"/>
      <c r="J39" s="70" t="n"/>
    </row>
    <row r="40" ht="21.75" customHeight="1" s="39"/>
    <row r="41" ht="21.75" customHeight="1" s="39"/>
    <row r="42" ht="21.75" customHeight="1" s="39"/>
    <row r="43" ht="21.75" customHeight="1" s="39"/>
    <row r="44" ht="21.75" customHeight="1" s="39"/>
  </sheetData>
  <mergeCells count="1">
    <mergeCell ref="A1:K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K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1" customWidth="1" style="80" min="1" max="1"/>
    <col width="18" customWidth="1" style="80" min="2" max="2"/>
    <col width="16" customWidth="1" style="80" min="3" max="3"/>
    <col width="18" customWidth="1" style="80" min="4" max="4"/>
    <col width="14" customWidth="1" style="80" min="5" max="5"/>
    <col width="18" customWidth="1" style="80" min="6" max="6"/>
    <col width="14" customWidth="1" style="80" min="7" max="7"/>
    <col width="16" customWidth="1" style="80" min="8" max="10"/>
    <col width="24" customWidth="1" style="80" min="11" max="11"/>
  </cols>
  <sheetData>
    <row r="1" ht="21.75" customHeight="1" s="39">
      <c r="A1" s="40" t="inlineStr">
        <is>
          <t>FR7 small split-flow measurement</t>
        </is>
      </c>
    </row>
    <row r="2" ht="21.75" customHeight="1" s="39"/>
    <row r="3" ht="21.75" customHeight="1" s="39">
      <c r="A3" s="46" t="inlineStr">
        <is>
          <t>Metadata</t>
        </is>
      </c>
      <c r="B3" s="46" t="inlineStr">
        <is>
          <t>Value</t>
        </is>
      </c>
    </row>
    <row r="4" ht="21.75" customHeight="1" s="39">
      <c r="A4" s="46" t="inlineStr">
        <is>
          <t>Site</t>
        </is>
      </c>
      <c r="B4" s="46" t="inlineStr">
        <is>
          <t>FR7</t>
        </is>
      </c>
    </row>
    <row r="5" ht="21.75" customHeight="1" s="39">
      <c r="A5" s="46" t="inlineStr">
        <is>
          <t>No.1 point elevation (m)</t>
        </is>
      </c>
      <c r="B5" s="61">
        <f>River_Points!G9</f>
        <v/>
      </c>
    </row>
    <row r="6" ht="21.75" customHeight="1" s="39">
      <c r="A6" s="46" t="inlineStr">
        <is>
          <t>Approx observed Q target (m3/s)</t>
        </is>
      </c>
      <c r="B6" s="61" t="n">
        <v>0.0226666667</v>
      </c>
    </row>
    <row r="7" ht="21.75" customHeight="1" s="39">
      <c r="A7" s="46" t="inlineStr">
        <is>
          <t>Method</t>
        </is>
      </c>
      <c r="B7" s="61" t="inlineStr">
        <is>
          <t>Bag method (two small split flows)</t>
        </is>
      </c>
    </row>
    <row r="8" ht="21.75" customHeight="1" s="39">
      <c r="A8" s="46" t="inlineStr">
        <is>
          <t>Reference elev / stage</t>
        </is>
      </c>
      <c r="B8" s="61" t="inlineStr">
        <is>
          <t>Not surveyed as full cross-section; use No.1 elev and total Q only</t>
        </is>
      </c>
      <c r="C8" s="62" t="inlineStr">
        <is>
          <t>Rod reading R (m)</t>
        </is>
      </c>
      <c r="D8" s="62" t="inlineStr">
        <is>
          <t>Point elev Z (m)</t>
        </is>
      </c>
      <c r="E8" s="62" t="inlineStr">
        <is>
          <t>Water depth d (m)</t>
        </is>
      </c>
      <c r="F8" s="62" t="inlineStr">
        <is>
          <t>Water surface elev Zw (m)</t>
        </is>
      </c>
      <c r="G8" s="62" t="inlineStr">
        <is>
          <t>Velocity (m/s)</t>
        </is>
      </c>
      <c r="H8" s="62" t="inlineStr">
        <is>
          <t>Assigned subsection width (m)</t>
        </is>
      </c>
      <c r="I8" s="62" t="n"/>
      <c r="J8" s="62" t="n"/>
      <c r="K8" s="62" t="n"/>
    </row>
    <row r="9" ht="21.75" customHeight="1" s="39">
      <c r="A9" s="46" t="inlineStr">
        <is>
          <t>Computed total Q (m3/s)</t>
        </is>
      </c>
      <c r="B9" s="61">
        <f>SUM(J12:J14)</f>
        <v/>
      </c>
      <c r="C9" s="52" t="n"/>
      <c r="D9" s="54">
        <f>IF(C9="","",$B$5+($C$9-C9))</f>
        <v/>
      </c>
      <c r="E9" s="52" t="n"/>
      <c r="F9" s="54">
        <f>IF(OR(D9="",E9=""),"",D9+E9)</f>
        <v/>
      </c>
      <c r="G9" s="52" t="n"/>
      <c r="H9" s="52" t="n"/>
      <c r="I9" s="54">
        <f>IF(OR(E9="",H9=""),"",E9*H9)</f>
        <v/>
      </c>
      <c r="J9" s="54">
        <f>IF(OR(I9="",G9=""),"",I9*G9)</f>
        <v/>
      </c>
      <c r="K9" s="60" t="inlineStr">
        <is>
          <t>GNSS point on ground near river</t>
        </is>
      </c>
    </row>
    <row r="10" ht="21.75" customHeight="1" s="39">
      <c r="A10" s="63" t="inlineStr">
        <is>
          <t>No.2</t>
        </is>
      </c>
      <c r="B10" s="52" t="n">
        <v>4.3</v>
      </c>
      <c r="C10" s="52" t="n"/>
      <c r="D10" s="54">
        <f>IF(C10="","",$B$5+($C$9-C10))</f>
        <v/>
      </c>
      <c r="E10" s="52" t="n">
        <v>0.36</v>
      </c>
      <c r="F10" s="54">
        <f>IF(OR(D10="",E10=""),"",D10+E10)</f>
        <v/>
      </c>
      <c r="G10" s="52" t="n">
        <v>0.04</v>
      </c>
      <c r="H10" s="52" t="n"/>
      <c r="I10" s="54">
        <f>IF(OR(E10="",H10=""),"",E10*H10)</f>
        <v/>
      </c>
      <c r="J10" s="54">
        <f>IF(OR(I10="",G10=""),"",I10*G10)</f>
        <v/>
      </c>
      <c r="K10" s="60" t="n"/>
    </row>
    <row r="11" ht="21.75" customHeight="1" s="39">
      <c r="A11" s="43" t="inlineStr">
        <is>
          <t>Branch</t>
        </is>
      </c>
      <c r="B11" s="64" t="inlineStr">
        <is>
          <t>Volume (L)</t>
        </is>
      </c>
      <c r="C11" s="64" t="inlineStr">
        <is>
          <t>Time (s)</t>
        </is>
      </c>
      <c r="D11" s="64" t="inlineStr">
        <is>
          <t>Flow (L/s)</t>
        </is>
      </c>
      <c r="E11" s="64" t="inlineStr">
        <is>
          <t>Flow (m3/s)</t>
        </is>
      </c>
      <c r="F11" s="64" t="inlineStr">
        <is>
          <t>Notes</t>
        </is>
      </c>
      <c r="G11" s="64" t="inlineStr">
        <is>
          <t>Velocity (m/s)</t>
        </is>
      </c>
      <c r="H11" s="64" t="inlineStr">
        <is>
          <t>Mid-section width (m)</t>
        </is>
      </c>
      <c r="I11" s="64" t="inlineStr">
        <is>
          <t>Subsection area (m2)</t>
        </is>
      </c>
      <c r="J11" s="64" t="inlineStr">
        <is>
          <t>Subsection Q (m3/s)</t>
        </is>
      </c>
      <c r="K11" s="43" t="inlineStr">
        <is>
          <t>Notes</t>
        </is>
      </c>
    </row>
    <row r="12" ht="21.75" customHeight="1" s="39">
      <c r="A12" s="65" t="inlineStr">
        <is>
          <t>Flow 1</t>
        </is>
      </c>
      <c r="B12" s="66" t="n">
        <v>9.6</v>
      </c>
      <c r="C12" s="66" t="n">
        <v>0.5</v>
      </c>
      <c r="D12" s="67">
        <f>IF(OR(B12="",C12=""),"",B12/C12)</f>
        <v/>
      </c>
      <c r="E12" s="66">
        <f>IF(D12="","",D12/1000)</f>
        <v/>
      </c>
      <c r="F12" s="67" t="inlineStr">
        <is>
          <t>Bag method</t>
        </is>
      </c>
      <c r="G12" s="66" t="n"/>
      <c r="H12" s="68" t="n"/>
      <c r="I12" s="67" t="n"/>
      <c r="J12" s="67" t="n"/>
      <c r="K12" s="69" t="n"/>
    </row>
    <row r="13" ht="21.75" customHeight="1" s="39">
      <c r="A13" s="65" t="inlineStr">
        <is>
          <t>Flow 2</t>
        </is>
      </c>
      <c r="B13" s="66" t="n">
        <v>5.2</v>
      </c>
      <c r="C13" s="66" t="n">
        <v>1.5</v>
      </c>
      <c r="D13" s="67">
        <f>IF(OR(B13="",C13=""),"",B13/C13)</f>
        <v/>
      </c>
      <c r="E13" s="66">
        <f>IF(D13="","",D13/1000)</f>
        <v/>
      </c>
      <c r="F13" s="67" t="inlineStr">
        <is>
          <t>Bag method</t>
        </is>
      </c>
      <c r="G13" s="66" t="n"/>
      <c r="H13" s="68" t="n"/>
      <c r="I13" s="67" t="n"/>
      <c r="J13" s="67" t="n"/>
      <c r="K13" s="69" t="n"/>
    </row>
    <row r="14" ht="21.75" customHeight="1" s="39">
      <c r="A14" s="65" t="inlineStr">
        <is>
          <t>Total</t>
        </is>
      </c>
      <c r="B14" s="66" t="n"/>
      <c r="C14" s="66" t="n"/>
      <c r="D14" s="67">
        <f>SUM(D12:D13)</f>
        <v/>
      </c>
      <c r="E14" s="66">
        <f>SUM(E12:E13)</f>
        <v/>
      </c>
      <c r="F14" s="67" t="inlineStr">
        <is>
          <t>Total small split-flow discharge</t>
        </is>
      </c>
      <c r="G14" s="66" t="n"/>
      <c r="H14" s="68" t="n"/>
      <c r="I14" s="67" t="n"/>
      <c r="J14" s="67" t="n"/>
      <c r="K14" s="69" t="n"/>
    </row>
    <row r="15" ht="21.75" customHeight="1" s="39">
      <c r="A15" s="65" t="n"/>
      <c r="B15" s="66" t="n"/>
      <c r="C15" s="66" t="n"/>
      <c r="D15" s="67" t="n"/>
      <c r="E15" s="66" t="n"/>
      <c r="F15" s="67" t="n"/>
      <c r="G15" s="66" t="n"/>
      <c r="H15" s="68" t="n"/>
      <c r="I15" s="67" t="n"/>
      <c r="J15" s="67" t="n"/>
      <c r="K15" s="69" t="n"/>
    </row>
    <row r="16" ht="21.75" customHeight="1" s="39">
      <c r="A16" s="65" t="n"/>
      <c r="B16" s="66" t="n"/>
      <c r="C16" s="66" t="n"/>
      <c r="D16" s="67" t="n"/>
      <c r="E16" s="66" t="n"/>
      <c r="F16" s="67" t="n"/>
      <c r="G16" s="66" t="n"/>
      <c r="H16" s="68" t="n"/>
      <c r="I16" s="67" t="n"/>
      <c r="J16" s="67" t="n"/>
      <c r="K16" s="69" t="n"/>
    </row>
    <row r="17" ht="21.75" customHeight="1" s="39">
      <c r="A17" s="71" t="n"/>
      <c r="B17" s="72" t="n"/>
      <c r="C17" s="72" t="n"/>
      <c r="D17" s="73" t="n"/>
      <c r="E17" s="72" t="n"/>
      <c r="F17" s="73" t="n"/>
      <c r="G17" s="72" t="n"/>
      <c r="H17" s="73" t="n"/>
      <c r="I17" s="73" t="n"/>
      <c r="J17" s="73" t="n"/>
      <c r="K17" s="69" t="n"/>
    </row>
    <row r="18" ht="21.75" customHeight="1" s="39">
      <c r="B18" s="70" t="n"/>
      <c r="C18" s="70" t="n"/>
      <c r="D18" s="70" t="n"/>
      <c r="E18" s="70" t="n"/>
      <c r="F18" s="70" t="n"/>
      <c r="G18" s="70" t="n"/>
      <c r="H18" s="70" t="n"/>
      <c r="I18" s="70" t="n"/>
      <c r="J18" s="70" t="n"/>
    </row>
    <row r="19" ht="21.75" customHeight="1" s="39">
      <c r="B19" s="70" t="n"/>
      <c r="C19" s="70" t="n"/>
      <c r="D19" s="70" t="n"/>
      <c r="E19" s="70" t="n"/>
      <c r="F19" s="70" t="n"/>
      <c r="G19" s="70" t="n"/>
      <c r="H19" s="70" t="n"/>
      <c r="I19" s="70" t="n"/>
      <c r="J19" s="70" t="n"/>
    </row>
    <row r="20" ht="21.75" customHeight="1" s="39">
      <c r="B20" s="70" t="n"/>
      <c r="C20" s="70" t="n"/>
      <c r="D20" s="70" t="n"/>
      <c r="E20" s="70" t="n"/>
      <c r="F20" s="70" t="n"/>
      <c r="G20" s="70" t="n"/>
      <c r="H20" s="70" t="n"/>
      <c r="I20" s="70" t="n"/>
      <c r="J20" s="70" t="n"/>
    </row>
    <row r="21" ht="21.75" customHeight="1" s="39">
      <c r="B21" s="70" t="n"/>
      <c r="C21" s="70" t="n"/>
      <c r="D21" s="70" t="n"/>
      <c r="E21" s="70" t="n"/>
      <c r="F21" s="70" t="n"/>
      <c r="G21" s="70" t="n"/>
      <c r="H21" s="70" t="n"/>
      <c r="I21" s="70" t="n"/>
      <c r="J21" s="70" t="n"/>
    </row>
    <row r="22" ht="21.75" customHeight="1" s="39">
      <c r="B22" s="70" t="n"/>
      <c r="C22" s="70" t="n"/>
      <c r="D22" s="70" t="n"/>
      <c r="E22" s="70" t="n"/>
      <c r="F22" s="70" t="n"/>
      <c r="G22" s="70" t="n"/>
      <c r="H22" s="70" t="n"/>
      <c r="I22" s="70" t="n"/>
      <c r="J22" s="70" t="n"/>
    </row>
    <row r="23" ht="21.75" customHeight="1" s="39">
      <c r="B23" s="70" t="n"/>
      <c r="C23" s="70" t="n"/>
      <c r="D23" s="70" t="n"/>
      <c r="E23" s="70" t="n"/>
      <c r="F23" s="70" t="n"/>
      <c r="G23" s="70" t="n"/>
      <c r="H23" s="70" t="n"/>
      <c r="I23" s="70" t="n"/>
      <c r="J23" s="70" t="n"/>
    </row>
    <row r="24" ht="21.75" customHeight="1" s="39">
      <c r="B24" s="70" t="n"/>
      <c r="C24" s="70" t="n"/>
      <c r="D24" s="70" t="n"/>
      <c r="E24" s="70" t="n"/>
      <c r="F24" s="70" t="n"/>
      <c r="G24" s="70" t="n"/>
      <c r="H24" s="70" t="n"/>
      <c r="I24" s="70" t="n"/>
      <c r="J24" s="70" t="n"/>
    </row>
    <row r="25" ht="21.75" customHeight="1" s="39">
      <c r="B25" s="70" t="n"/>
      <c r="C25" s="70" t="n"/>
      <c r="D25" s="70" t="n"/>
      <c r="E25" s="70" t="n"/>
      <c r="F25" s="70" t="n"/>
      <c r="G25" s="70" t="n"/>
      <c r="H25" s="70" t="n"/>
      <c r="I25" s="70" t="n"/>
      <c r="J25" s="70" t="n"/>
    </row>
    <row r="26" ht="21.75" customHeight="1" s="39">
      <c r="B26" s="70" t="n"/>
      <c r="C26" s="70" t="n"/>
      <c r="D26" s="70" t="n"/>
      <c r="E26" s="70" t="n"/>
      <c r="F26" s="70" t="n"/>
      <c r="G26" s="70" t="n"/>
      <c r="H26" s="70" t="n"/>
      <c r="I26" s="70" t="n"/>
      <c r="J26" s="70" t="n"/>
    </row>
    <row r="27" ht="21.75" customHeight="1" s="39">
      <c r="B27" s="70" t="n"/>
      <c r="C27" s="70" t="n"/>
      <c r="D27" s="70" t="n"/>
      <c r="E27" s="70" t="n"/>
      <c r="F27" s="70" t="n"/>
      <c r="G27" s="70" t="n"/>
      <c r="H27" s="70" t="n"/>
      <c r="I27" s="70" t="n"/>
      <c r="J27" s="70" t="n"/>
    </row>
    <row r="28" ht="21.75" customHeight="1" s="39">
      <c r="B28" s="70" t="n"/>
      <c r="C28" s="70" t="n"/>
      <c r="D28" s="70" t="n"/>
      <c r="E28" s="70" t="n"/>
      <c r="F28" s="70" t="n"/>
      <c r="G28" s="70" t="n"/>
      <c r="H28" s="70" t="n"/>
      <c r="I28" s="70" t="n"/>
      <c r="J28" s="70" t="n"/>
    </row>
    <row r="29" ht="21.75" customHeight="1" s="39">
      <c r="B29" s="70" t="n"/>
      <c r="C29" s="70" t="n"/>
      <c r="D29" s="70" t="n"/>
      <c r="E29" s="70" t="n"/>
      <c r="F29" s="70" t="n"/>
      <c r="G29" s="70" t="n"/>
      <c r="H29" s="70" t="n"/>
      <c r="I29" s="70" t="n"/>
      <c r="J29" s="70" t="n"/>
    </row>
    <row r="30" ht="21.75" customHeight="1" s="39">
      <c r="B30" s="70" t="n"/>
      <c r="C30" s="70" t="n"/>
      <c r="D30" s="70" t="n"/>
      <c r="E30" s="70" t="n"/>
      <c r="F30" s="70" t="n"/>
      <c r="G30" s="70" t="n"/>
      <c r="H30" s="70" t="n"/>
      <c r="I30" s="70" t="n"/>
      <c r="J30" s="70" t="n"/>
    </row>
    <row r="31" ht="21.75" customHeight="1" s="39">
      <c r="B31" s="70" t="n"/>
      <c r="C31" s="70" t="n"/>
      <c r="D31" s="70" t="n"/>
      <c r="E31" s="70" t="n"/>
      <c r="F31" s="70" t="n"/>
      <c r="G31" s="70" t="n"/>
      <c r="H31" s="70" t="n"/>
      <c r="I31" s="70" t="n"/>
      <c r="J31" s="70" t="n"/>
    </row>
    <row r="32" ht="21.75" customHeight="1" s="39">
      <c r="B32" s="70" t="n"/>
      <c r="C32" s="70" t="n"/>
      <c r="D32" s="70" t="n"/>
      <c r="E32" s="70" t="n"/>
      <c r="F32" s="70" t="n"/>
      <c r="G32" s="70" t="n"/>
      <c r="H32" s="70" t="n"/>
      <c r="I32" s="70" t="n"/>
      <c r="J32" s="70" t="n"/>
    </row>
    <row r="33" ht="21.75" customHeight="1" s="39">
      <c r="B33" s="70" t="n"/>
      <c r="C33" s="70" t="n"/>
      <c r="D33" s="70" t="n"/>
      <c r="E33" s="70" t="n"/>
      <c r="F33" s="70" t="n"/>
      <c r="G33" s="70" t="n"/>
      <c r="H33" s="70" t="n"/>
      <c r="I33" s="70" t="n"/>
      <c r="J33" s="70" t="n"/>
    </row>
    <row r="34" ht="21.75" customHeight="1" s="39">
      <c r="B34" s="70" t="n"/>
      <c r="C34" s="70" t="n"/>
      <c r="D34" s="70" t="n"/>
      <c r="E34" s="70" t="n"/>
      <c r="F34" s="70" t="n"/>
      <c r="G34" s="70" t="n"/>
      <c r="H34" s="70" t="n"/>
      <c r="I34" s="70" t="n"/>
      <c r="J34" s="70" t="n"/>
    </row>
    <row r="35" ht="21.75" customHeight="1" s="39">
      <c r="B35" s="70" t="n"/>
      <c r="C35" s="70" t="n"/>
      <c r="D35" s="70" t="n"/>
      <c r="E35" s="70" t="n"/>
      <c r="F35" s="70" t="n"/>
      <c r="G35" s="70" t="n"/>
      <c r="H35" s="70" t="n"/>
      <c r="I35" s="70" t="n"/>
      <c r="J35" s="70" t="n"/>
    </row>
    <row r="36" ht="21.75" customHeight="1" s="39">
      <c r="B36" s="70" t="n"/>
      <c r="C36" s="70" t="n"/>
      <c r="D36" s="70" t="n"/>
      <c r="E36" s="70" t="n"/>
      <c r="F36" s="70" t="n"/>
      <c r="G36" s="70" t="n"/>
      <c r="H36" s="70" t="n"/>
      <c r="I36" s="70" t="n"/>
      <c r="J36" s="70" t="n"/>
    </row>
    <row r="37" ht="21.75" customHeight="1" s="39">
      <c r="B37" s="70" t="n"/>
      <c r="C37" s="70" t="n"/>
      <c r="D37" s="70" t="n"/>
      <c r="E37" s="70" t="n"/>
      <c r="F37" s="70" t="n"/>
      <c r="G37" s="70" t="n"/>
      <c r="H37" s="70" t="n"/>
      <c r="I37" s="70" t="n"/>
      <c r="J37" s="70" t="n"/>
    </row>
    <row r="38" ht="21.75" customHeight="1" s="39">
      <c r="B38" s="70" t="n"/>
      <c r="C38" s="70" t="n"/>
      <c r="D38" s="70" t="n"/>
      <c r="E38" s="70" t="n"/>
      <c r="F38" s="70" t="n"/>
      <c r="G38" s="70" t="n"/>
      <c r="H38" s="70" t="n"/>
      <c r="I38" s="70" t="n"/>
      <c r="J38" s="70" t="n"/>
    </row>
    <row r="39" ht="21.75" customHeight="1" s="39">
      <c r="B39" s="70" t="n"/>
      <c r="C39" s="70" t="n"/>
      <c r="D39" s="70" t="n"/>
      <c r="E39" s="70" t="n"/>
      <c r="F39" s="70" t="n"/>
      <c r="G39" s="70" t="n"/>
      <c r="H39" s="70" t="n"/>
      <c r="I39" s="70" t="n"/>
      <c r="J39" s="70" t="n"/>
    </row>
    <row r="40" ht="21.75" customHeight="1" s="39"/>
    <row r="41" ht="21.75" customHeight="1" s="39"/>
    <row r="42" ht="21.75" customHeight="1" s="39"/>
    <row r="43" ht="21.75" customHeight="1" s="39"/>
    <row r="44" ht="21.75" customHeight="1" s="39"/>
  </sheetData>
  <mergeCells count="1">
    <mergeCell ref="A1:K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K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2" customWidth="1" style="80" min="1" max="1"/>
    <col width="13" customWidth="1" style="80" min="2" max="3"/>
    <col width="16" customWidth="1" style="80" min="4" max="4"/>
    <col width="14" customWidth="1" style="80" min="5" max="5"/>
    <col width="15" customWidth="1" style="80" min="6" max="8"/>
    <col width="17" customWidth="1" style="80" min="9" max="9"/>
    <col width="22" customWidth="1" style="80" min="10" max="10"/>
    <col width="40" customWidth="1" style="80" min="11" max="11"/>
  </cols>
  <sheetData>
    <row r="1" ht="15" customHeight="1" s="39">
      <c r="A1" s="74" t="inlineStr">
        <is>
          <t>MODFLOW river observation table (survey-derived field values + model comparison)</t>
        </is>
      </c>
    </row>
    <row r="3" ht="15" customHeight="1" s="39">
      <c r="A3" s="75" t="inlineStr">
        <is>
          <t>Site</t>
        </is>
      </c>
      <c r="B3" s="75" t="inlineStr">
        <is>
          <t>Lat</t>
        </is>
      </c>
      <c r="C3" s="75" t="inlineStr">
        <is>
          <t>Lon</t>
        </is>
      </c>
      <c r="D3" s="75" t="inlineStr">
        <is>
          <t>Method</t>
        </is>
      </c>
      <c r="E3" s="75" t="inlineStr">
        <is>
          <t>No.1 elev (m)</t>
        </is>
      </c>
      <c r="F3" s="75" t="inlineStr">
        <is>
          <t>Mean bed elev (m)</t>
        </is>
      </c>
      <c r="G3" s="75" t="inlineStr">
        <is>
          <t>Mean stage (m)</t>
        </is>
      </c>
      <c r="H3" s="75" t="inlineStr">
        <is>
          <t>Field-calculated Q (m3/s)</t>
        </is>
      </c>
      <c r="I3" s="75" t="inlineStr">
        <is>
          <t>Simulated Q (m3/s)</t>
        </is>
      </c>
      <c r="J3" s="75" t="inlineStr">
        <is>
          <t>Suggested package use</t>
        </is>
      </c>
      <c r="K3" s="75" t="inlineStr">
        <is>
          <t>Remarks</t>
        </is>
      </c>
    </row>
    <row r="4" ht="15" customHeight="1" s="39">
      <c r="A4" s="80" t="inlineStr">
        <is>
          <t>FR2</t>
        </is>
      </c>
      <c r="B4" s="81">
        <f>River_Points!B4</f>
        <v/>
      </c>
      <c r="C4" s="81">
        <f>River_Points!C4</f>
        <v/>
      </c>
      <c r="D4" s="80" t="inlineStr">
        <is>
          <t>cross-section</t>
        </is>
      </c>
      <c r="E4" s="82">
        <f>River_Points!G4</f>
        <v/>
      </c>
      <c r="F4" s="82">
        <f>FR2!B8</f>
        <v/>
      </c>
      <c r="G4" s="82">
        <f>FR2!B7</f>
        <v/>
      </c>
      <c r="H4" s="82">
        <f>FR2!B9</f>
        <v/>
      </c>
      <c r="I4" s="94" t="n"/>
      <c r="J4" s="80" t="inlineStr">
        <is>
          <t>RIV or DRN calibration</t>
        </is>
      </c>
      <c r="K4" s="80" t="inlineStr">
        <is>
          <t>Main Lakilaki River; strongest discharge target.</t>
        </is>
      </c>
    </row>
    <row r="5" ht="15" customHeight="1" s="39">
      <c r="A5" s="80" t="inlineStr">
        <is>
          <t>FR2 (repeat 3/24)</t>
        </is>
      </c>
      <c r="B5" s="81">
        <f>River_Points!B4</f>
        <v/>
      </c>
      <c r="C5" s="81">
        <f>River_Points!C4</f>
        <v/>
      </c>
      <c r="D5" s="80" t="inlineStr">
        <is>
          <t>cross-section repeat</t>
        </is>
      </c>
      <c r="E5" s="82">
        <f>River_Points!G4</f>
        <v/>
      </c>
      <c r="F5" s="82">
        <f>FR2_0324!B8</f>
        <v/>
      </c>
      <c r="G5" s="82">
        <f>FR2_0324!B7</f>
        <v/>
      </c>
      <c r="H5" s="82">
        <f>FR2_0324!B9</f>
        <v/>
      </c>
      <c r="I5" s="94" t="n"/>
      <c r="J5" s="80" t="inlineStr">
        <is>
          <t>RIV or DRN validation</t>
        </is>
      </c>
      <c r="K5" s="80" t="inlineStr">
        <is>
          <t>Repeat during pressure sensor recovery; useful for range/uncertainty.</t>
        </is>
      </c>
    </row>
    <row r="6" ht="15" customHeight="1" s="39">
      <c r="A6" s="80" t="inlineStr">
        <is>
          <t>FR3</t>
        </is>
      </c>
      <c r="B6" s="81">
        <f>River_Points!B5</f>
        <v/>
      </c>
      <c r="C6" s="81">
        <f>River_Points!C5</f>
        <v/>
      </c>
      <c r="D6" s="80" t="inlineStr">
        <is>
          <t>cross-section</t>
        </is>
      </c>
      <c r="E6" s="82">
        <f>River_Points!G5</f>
        <v/>
      </c>
      <c r="F6" s="82">
        <f>FR3!B8</f>
        <v/>
      </c>
      <c r="G6" s="82">
        <f>FR3!B7</f>
        <v/>
      </c>
      <c r="H6" s="82">
        <f>FR3!B9</f>
        <v/>
      </c>
      <c r="I6" s="94" t="n"/>
      <c r="J6" s="80" t="inlineStr">
        <is>
          <t>RIV or DRN calibration</t>
        </is>
      </c>
      <c r="K6" s="80" t="inlineStr">
        <is>
          <t>Velocity transcription confirmed by field note.</t>
        </is>
      </c>
    </row>
    <row r="7" ht="15" customHeight="1" s="39">
      <c r="A7" s="80" t="inlineStr">
        <is>
          <t>FR4</t>
        </is>
      </c>
      <c r="B7" s="81">
        <f>River_Points!B6</f>
        <v/>
      </c>
      <c r="C7" s="81">
        <f>River_Points!C6</f>
        <v/>
      </c>
      <c r="D7" s="80" t="inlineStr">
        <is>
          <t>cross-section</t>
        </is>
      </c>
      <c r="E7" s="82">
        <f>River_Points!G6</f>
        <v/>
      </c>
      <c r="F7" s="82">
        <f>FR4!B8</f>
        <v/>
      </c>
      <c r="G7" s="82">
        <f>FR4!B7</f>
        <v/>
      </c>
      <c r="H7" s="82">
        <f>FR4!B9</f>
        <v/>
      </c>
      <c r="I7" s="94" t="n"/>
      <c r="J7" s="80" t="inlineStr">
        <is>
          <t>RIV or DRN calibration</t>
        </is>
      </c>
      <c r="K7" s="80" t="inlineStr">
        <is>
          <t>Small neighboring basin stream.</t>
        </is>
      </c>
    </row>
    <row r="8" ht="15" customHeight="1" s="39">
      <c r="A8" s="80" t="inlineStr">
        <is>
          <t>FR5</t>
        </is>
      </c>
      <c r="B8" s="81">
        <f>River_Points!B7</f>
        <v/>
      </c>
      <c r="C8" s="81">
        <f>River_Points!C7</f>
        <v/>
      </c>
      <c r="D8" s="80" t="inlineStr">
        <is>
          <t>cross-section</t>
        </is>
      </c>
      <c r="E8" s="82">
        <f>River_Points!G7</f>
        <v/>
      </c>
      <c r="F8" s="82">
        <f>FR5!B8</f>
        <v/>
      </c>
      <c r="G8" s="82">
        <f>FR5!B7</f>
        <v/>
      </c>
      <c r="H8" s="82">
        <f>FR5!B9</f>
        <v/>
      </c>
      <c r="I8" s="94" t="n"/>
      <c r="J8" s="80" t="inlineStr">
        <is>
          <t>Upper-basin calibration</t>
        </is>
      </c>
      <c r="K8" s="80" t="inlineStr">
        <is>
          <t>Upper village reach.</t>
        </is>
      </c>
    </row>
    <row r="9" ht="15" customHeight="1" s="39">
      <c r="A9" s="80" t="inlineStr">
        <is>
          <t>FR6</t>
        </is>
      </c>
      <c r="B9" s="81">
        <f>River_Points!B8</f>
        <v/>
      </c>
      <c r="C9" s="81">
        <f>River_Points!C8</f>
        <v/>
      </c>
      <c r="D9" s="80" t="inlineStr">
        <is>
          <t>cross-section</t>
        </is>
      </c>
      <c r="E9" s="82">
        <f>River_Points!G8</f>
        <v/>
      </c>
      <c r="F9" s="82">
        <f>FR6!B8</f>
        <v/>
      </c>
      <c r="G9" s="82">
        <f>FR6!B7</f>
        <v/>
      </c>
      <c r="H9" s="82">
        <f>FR6!B9</f>
        <v/>
      </c>
      <c r="I9" s="94" t="n"/>
      <c r="J9" s="80" t="inlineStr">
        <is>
          <t>Upper-basin calibration</t>
        </is>
      </c>
      <c r="K9" s="80" t="inlineStr">
        <is>
          <t>Downstream of confluence.</t>
        </is>
      </c>
    </row>
    <row r="10" ht="15" customHeight="1" s="39">
      <c r="A10" s="80" t="inlineStr">
        <is>
          <t>FR7</t>
        </is>
      </c>
      <c r="B10" s="81">
        <f>River_Points!B9</f>
        <v/>
      </c>
      <c r="C10" s="81">
        <f>River_Points!C9</f>
        <v/>
      </c>
      <c r="D10" s="80" t="inlineStr">
        <is>
          <t>bag method</t>
        </is>
      </c>
      <c r="E10" s="82">
        <f>River_Points!G9</f>
        <v/>
      </c>
      <c r="F10" s="82" t="n"/>
      <c r="G10" s="82" t="n"/>
      <c r="H10" s="82">
        <f>FR7!B9</f>
        <v/>
      </c>
      <c r="I10" s="94" t="n"/>
      <c r="J10" s="80" t="inlineStr">
        <is>
          <t>Spot discharge only</t>
        </is>
      </c>
      <c r="K10" s="80" t="inlineStr">
        <is>
          <t>Use as upper-basin discharge checkpoint, not full stage/bed section.</t>
        </is>
      </c>
    </row>
    <row r="11" ht="15" customHeight="1" s="39">
      <c r="A11" s="80" t="n"/>
    </row>
    <row r="12" ht="15" customHeight="1" s="39">
      <c r="A12" s="78" t="inlineStr">
        <is>
          <t>Suggested calibration sequence</t>
        </is>
      </c>
    </row>
    <row r="13" ht="15" customHeight="1" s="39">
      <c r="A13" s="85" t="inlineStr">
        <is>
          <t>Priority 1</t>
        </is>
      </c>
      <c r="B13" s="85" t="inlineStr">
        <is>
          <t>FR2 + FR3</t>
        </is>
      </c>
      <c r="C13" s="85" t="n"/>
      <c r="D13" s="85" t="inlineStr">
        <is>
          <t>Match main-basin discharge first</t>
        </is>
      </c>
      <c r="E13" s="85" t="n"/>
      <c r="F13" s="85" t="n"/>
      <c r="G13" s="85" t="n"/>
      <c r="H13" s="85" t="n"/>
      <c r="I13" s="85" t="n"/>
      <c r="J13" s="85" t="n"/>
      <c r="K13" s="85" t="n"/>
    </row>
    <row r="14" ht="15" customHeight="1" s="39">
      <c r="A14" s="85" t="inlineStr">
        <is>
          <t>Priority 2</t>
        </is>
      </c>
      <c r="B14" s="85" t="inlineStr">
        <is>
          <t>FR4</t>
        </is>
      </c>
      <c r="C14" s="85" t="n"/>
      <c r="D14" s="85" t="inlineStr">
        <is>
          <t>Then enforce neighboring small basin magnitude</t>
        </is>
      </c>
      <c r="E14" s="85" t="n"/>
      <c r="F14" s="85" t="n"/>
      <c r="G14" s="85" t="n"/>
      <c r="H14" s="85" t="n"/>
      <c r="I14" s="85" t="n"/>
      <c r="J14" s="85" t="n"/>
      <c r="K14" s="85" t="n"/>
    </row>
    <row r="15" ht="15" customHeight="1" s="39">
      <c r="A15" s="85" t="inlineStr">
        <is>
          <t>Priority 3</t>
        </is>
      </c>
      <c r="B15" s="85" t="inlineStr">
        <is>
          <t>FR5 + FR6 + FR7</t>
        </is>
      </c>
      <c r="C15" s="85" t="n"/>
      <c r="D15" s="85" t="inlineStr">
        <is>
          <t>Use upper-basin gradient in discharge as structural check</t>
        </is>
      </c>
      <c r="E15" s="85" t="n"/>
      <c r="F15" s="85" t="n"/>
      <c r="G15" s="85" t="n"/>
      <c r="H15" s="85" t="n"/>
      <c r="I15" s="85" t="n"/>
      <c r="J15" s="85" t="n"/>
      <c r="K15" s="85" t="n"/>
    </row>
  </sheetData>
  <mergeCells count="2">
    <mergeCell ref="A11:K11"/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L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4" customWidth="1" style="80" min="1" max="1"/>
    <col width="12" customWidth="1" style="80" min="2" max="2"/>
    <col width="13" customWidth="1" style="80" min="3" max="4"/>
    <col width="15" customWidth="1" style="80" min="5" max="5"/>
    <col width="16" customWidth="1" style="80" min="6" max="6"/>
    <col width="13" customWidth="1" style="80" min="7" max="7"/>
    <col width="24" customWidth="1" style="80" min="8" max="8"/>
    <col width="15" customWidth="1" style="80" min="9" max="9"/>
    <col width="20" customWidth="1" style="80" min="10" max="10"/>
    <col width="18" customWidth="1" style="80" min="11" max="11"/>
    <col width="36" customWidth="1" style="80" min="12" max="12"/>
  </cols>
  <sheetData>
    <row r="1" ht="15" customHeight="1" s="39">
      <c r="A1" s="74" t="inlineStr">
        <is>
          <t>MODFLOW groundwater observation table</t>
        </is>
      </c>
    </row>
    <row r="3" ht="15" customHeight="1" s="39">
      <c r="A3" s="75" t="inlineStr">
        <is>
          <t>Site</t>
        </is>
      </c>
      <c r="B3" s="75" t="inlineStr">
        <is>
          <t>Type</t>
        </is>
      </c>
      <c r="C3" s="75" t="inlineStr">
        <is>
          <t>Lat</t>
        </is>
      </c>
      <c r="D3" s="75" t="inlineStr">
        <is>
          <t>Lon</t>
        </is>
      </c>
      <c r="E3" s="75" t="inlineStr">
        <is>
          <t>Ground elev (m)</t>
        </is>
      </c>
      <c r="F3" s="75" t="inlineStr">
        <is>
          <t>Depth to water (m)</t>
        </is>
      </c>
      <c r="G3" s="75" t="inlineStr">
        <is>
          <t>GW head (m)</t>
        </is>
      </c>
      <c r="H3" s="75" t="inlineStr">
        <is>
          <t>EC / salinity note</t>
        </is>
      </c>
      <c r="I3" s="75" t="inlineStr">
        <is>
          <t>Sample collected</t>
        </is>
      </c>
      <c r="J3" s="75" t="inlineStr">
        <is>
          <t>Use in model</t>
        </is>
      </c>
      <c r="K3" s="75" t="inlineStr">
        <is>
          <t>Status</t>
        </is>
      </c>
      <c r="L3" s="75" t="inlineStr">
        <is>
          <t>Remarks</t>
        </is>
      </c>
    </row>
    <row r="4" ht="15" customHeight="1" s="39">
      <c r="A4" s="80" t="inlineStr">
        <is>
          <t>FG1</t>
        </is>
      </c>
      <c r="B4" s="80" t="inlineStr">
        <is>
          <t>well</t>
        </is>
      </c>
      <c r="C4" s="81">
        <f>Groundwater!B4</f>
        <v/>
      </c>
      <c r="D4" s="81">
        <f>Groundwater!C4</f>
        <v/>
      </c>
      <c r="E4" s="82">
        <f>Groundwater!G4</f>
        <v/>
      </c>
      <c r="F4" s="83">
        <f>Groundwater!H4</f>
        <v/>
      </c>
      <c r="G4" s="82">
        <f>Groundwater!I4</f>
        <v/>
      </c>
      <c r="H4" s="84" t="inlineStr">
        <is>
          <t>EC 323 µS/cm; low DO</t>
        </is>
      </c>
      <c r="I4" s="80" t="inlineStr">
        <is>
          <t>yes</t>
        </is>
      </c>
      <c r="J4" s="80" t="inlineStr">
        <is>
          <t>Head calibration</t>
        </is>
      </c>
      <c r="K4" s="80" t="inlineStr">
        <is>
          <t>DTW confirmed from sheet</t>
        </is>
      </c>
      <c r="L4" s="80" t="inlineStr">
        <is>
          <t>Existing point from earlier survey.</t>
        </is>
      </c>
    </row>
    <row r="5" ht="15" customHeight="1" s="39">
      <c r="A5" s="80" t="inlineStr">
        <is>
          <t>FG2</t>
        </is>
      </c>
      <c r="B5" s="80" t="inlineStr">
        <is>
          <t>well</t>
        </is>
      </c>
      <c r="C5" s="81">
        <f>Groundwater!B5</f>
        <v/>
      </c>
      <c r="D5" s="81">
        <f>Groundwater!C5</f>
        <v/>
      </c>
      <c r="E5" s="82">
        <f>Groundwater!G5</f>
        <v/>
      </c>
      <c r="F5" s="83">
        <f>Groundwater!H5</f>
        <v/>
      </c>
      <c r="G5" s="82">
        <f>Groundwater!I5</f>
        <v/>
      </c>
      <c r="H5" s="84" t="inlineStr">
        <is>
          <t>EC 447 µS/cm</t>
        </is>
      </c>
      <c r="I5" s="80" t="inlineStr">
        <is>
          <t>yes</t>
        </is>
      </c>
      <c r="J5" s="80" t="inlineStr">
        <is>
          <t>Potential head calibration</t>
        </is>
      </c>
      <c r="K5" s="80" t="inlineStr">
        <is>
          <t>Sketch values need confirmation</t>
        </is>
      </c>
      <c r="L5" s="80" t="inlineStr">
        <is>
          <t>Existing point from earlier survey.</t>
        </is>
      </c>
    </row>
    <row r="6" ht="15" customHeight="1" s="39">
      <c r="A6" s="80" t="inlineStr">
        <is>
          <t>FG3</t>
        </is>
      </c>
      <c r="B6" s="80" t="inlineStr">
        <is>
          <t>spring</t>
        </is>
      </c>
      <c r="C6" s="81">
        <f>Groundwater!B6</f>
        <v/>
      </c>
      <c r="D6" s="81">
        <f>Groundwater!C6</f>
        <v/>
      </c>
      <c r="E6" s="82">
        <f>Groundwater!G6</f>
        <v/>
      </c>
      <c r="F6" s="83">
        <f>Groundwater!H6</f>
        <v/>
      </c>
      <c r="G6" s="82">
        <f>Groundwater!I6</f>
        <v/>
      </c>
      <c r="H6" s="84" t="inlineStr">
        <is>
          <t>EC 297 µS/cm; spring</t>
        </is>
      </c>
      <c r="I6" s="80" t="inlineStr">
        <is>
          <t>yes</t>
        </is>
      </c>
      <c r="J6" s="80" t="inlineStr">
        <is>
          <t>Chemistry / spring checkpoint</t>
        </is>
      </c>
      <c r="K6" s="80" t="inlineStr">
        <is>
          <t>No DTW</t>
        </is>
      </c>
      <c r="L6" s="80" t="inlineStr">
        <is>
          <t>Total flow = 0.003484 m3/s from two outlets of same source.</t>
        </is>
      </c>
    </row>
    <row r="7" ht="15" customHeight="1" s="39">
      <c r="A7" s="80" t="inlineStr">
        <is>
          <t>FG4</t>
        </is>
      </c>
      <c r="B7" s="80" t="inlineStr">
        <is>
          <t>well</t>
        </is>
      </c>
      <c r="C7" s="81">
        <f>Groundwater!B7</f>
        <v/>
      </c>
      <c r="D7" s="81">
        <f>Groundwater!C7</f>
        <v/>
      </c>
      <c r="E7" s="82">
        <f>Groundwater!G7</f>
        <v/>
      </c>
      <c r="F7" s="83">
        <f>Groundwater!H7</f>
        <v/>
      </c>
      <c r="G7" s="82">
        <f>Groundwater!I7</f>
        <v/>
      </c>
      <c r="H7" s="84" t="inlineStr">
        <is>
          <t>EC 542 µS/cm</t>
        </is>
      </c>
      <c r="I7" s="80" t="inlineStr">
        <is>
          <t>yes</t>
        </is>
      </c>
      <c r="J7" s="80" t="inlineStr">
        <is>
          <t>Potential head calibration</t>
        </is>
      </c>
      <c r="K7" s="80" t="inlineStr">
        <is>
          <t>Sketch values need confirmation</t>
        </is>
      </c>
      <c r="L7" s="80" t="inlineStr">
        <is>
          <t>Very important for coastal boundary and fresh near-shore groundwater.</t>
        </is>
      </c>
    </row>
    <row r="8" ht="15" customHeight="1" s="39">
      <c r="A8" s="80" t="inlineStr">
        <is>
          <t>FG5</t>
        </is>
      </c>
      <c r="B8" s="80" t="inlineStr">
        <is>
          <t>warm groundwater</t>
        </is>
      </c>
      <c r="C8" s="81">
        <f>Groundwater!B8</f>
        <v/>
      </c>
      <c r="D8" s="81">
        <f>Groundwater!C8</f>
        <v/>
      </c>
      <c r="E8" s="82">
        <f>Groundwater!G8</f>
        <v/>
      </c>
      <c r="F8" s="83">
        <f>Groundwater!H8</f>
        <v/>
      </c>
      <c r="G8" s="82">
        <f>Groundwater!I8</f>
        <v/>
      </c>
      <c r="H8" s="84" t="inlineStr">
        <is>
          <t>EC 693 µS/cm; warm</t>
        </is>
      </c>
      <c r="I8" s="80" t="inlineStr">
        <is>
          <t>yes</t>
        </is>
      </c>
      <c r="J8" s="80" t="inlineStr">
        <is>
          <t>Chemistry / thermal checkpoint</t>
        </is>
      </c>
      <c r="K8" s="80" t="inlineStr">
        <is>
          <t>No DTW</t>
        </is>
      </c>
      <c r="L8" s="80" t="inlineStr">
        <is>
          <t>Use if a second Lakilaki-town well is found.</t>
        </is>
      </c>
    </row>
    <row r="9">
      <c r="A9" s="80" t="inlineStr">
        <is>
          <t>FG6</t>
        </is>
      </c>
      <c r="B9" s="80" t="inlineStr">
        <is>
          <t>warm groundwater</t>
        </is>
      </c>
      <c r="C9" s="81">
        <f>Groundwater!B9</f>
        <v/>
      </c>
      <c r="D9" s="81">
        <f>Groundwater!C9</f>
        <v/>
      </c>
      <c r="E9" s="82">
        <f>Groundwater!G9</f>
        <v/>
      </c>
      <c r="F9" s="83">
        <f>Groundwater!H9</f>
        <v/>
      </c>
      <c r="G9" s="82">
        <f>Groundwater!I9</f>
        <v/>
      </c>
      <c r="H9" s="84" t="inlineStr">
        <is>
          <t>EC 411 µS/cm; warm</t>
        </is>
      </c>
      <c r="I9" s="80" t="inlineStr">
        <is>
          <t>yes</t>
        </is>
      </c>
      <c r="J9" s="80" t="inlineStr">
        <is>
          <t>Chemistry / thermal checkpoint</t>
        </is>
      </c>
      <c r="K9" s="80" t="inlineStr">
        <is>
          <t>No DTW</t>
        </is>
      </c>
    </row>
    <row r="10" ht="15" customHeight="1" s="39">
      <c r="A10" s="78" t="inlineStr">
        <is>
          <t>Interpretation notes</t>
        </is>
      </c>
    </row>
    <row r="11" ht="15" customHeight="1" s="39">
      <c r="A11" s="85" t="inlineStr">
        <is>
          <t>FG7</t>
        </is>
      </c>
      <c r="B11" s="85" t="inlineStr">
        <is>
          <t>well</t>
        </is>
      </c>
      <c r="C11" s="85">
        <f>Groundwater!B10</f>
        <v/>
      </c>
      <c r="D11" s="85">
        <f>Groundwater!C10</f>
        <v/>
      </c>
      <c r="E11" s="85">
        <f>Groundwater!G10</f>
        <v/>
      </c>
      <c r="F11" s="85">
        <f>Groundwater!H10</f>
        <v/>
      </c>
      <c r="G11" s="85">
        <f>Groundwater!I10</f>
        <v/>
      </c>
      <c r="H11" s="85" t="inlineStr">
        <is>
          <t>EC 249 µS/cm; very low ORP</t>
        </is>
      </c>
      <c r="I11" s="85" t="inlineStr">
        <is>
          <t>yes</t>
        </is>
      </c>
      <c r="J11" s="85" t="inlineStr">
        <is>
          <t>Potential head calibration</t>
        </is>
      </c>
      <c r="K11" s="85" t="inlineStr">
        <is>
          <t>Sketch values need confirmation</t>
        </is>
      </c>
      <c r="L11" s="85" t="n"/>
    </row>
    <row r="12" ht="15" customHeight="1" s="39">
      <c r="A12" s="85" t="inlineStr">
        <is>
          <t>FG8</t>
        </is>
      </c>
      <c r="B12" s="85" t="inlineStr">
        <is>
          <t>well</t>
        </is>
      </c>
      <c r="C12" s="85">
        <f>Groundwater!B11</f>
        <v/>
      </c>
      <c r="D12" s="85">
        <f>Groundwater!C11</f>
        <v/>
      </c>
      <c r="E12" s="85">
        <f>Groundwater!G11</f>
        <v/>
      </c>
      <c r="F12" s="85">
        <f>Groundwater!H11</f>
        <v/>
      </c>
      <c r="G12" s="85">
        <f>Groundwater!I11</f>
        <v/>
      </c>
      <c r="H12" s="85" t="inlineStr">
        <is>
          <t>EC 705 µS/cm</t>
        </is>
      </c>
      <c r="I12" s="85" t="inlineStr">
        <is>
          <t>yes</t>
        </is>
      </c>
      <c r="J12" s="85" t="inlineStr">
        <is>
          <t>Potential head calibration</t>
        </is>
      </c>
      <c r="K12" s="85" t="inlineStr">
        <is>
          <t>Sketch values need confirmation</t>
        </is>
      </c>
      <c r="L12" s="85" t="n"/>
    </row>
    <row r="13" ht="15" customHeight="1" s="39">
      <c r="A13" s="85" t="inlineStr">
        <is>
          <t>FG9</t>
        </is>
      </c>
      <c r="B13" s="85" t="inlineStr">
        <is>
          <t>well?</t>
        </is>
      </c>
      <c r="C13" s="85">
        <f>Groundwater!B12</f>
        <v/>
      </c>
      <c r="D13" s="85">
        <f>Groundwater!C12</f>
        <v/>
      </c>
      <c r="E13" s="85">
        <f>Groundwater!G12</f>
        <v/>
      </c>
      <c r="F13" s="85">
        <f>Groundwater!H12</f>
        <v/>
      </c>
      <c r="G13" s="85">
        <f>Groundwater!I12</f>
        <v/>
      </c>
      <c r="H13" s="85" t="inlineStr">
        <is>
          <t>EC 193.4 µS/cm</t>
        </is>
      </c>
      <c r="I13" s="85" t="inlineStr">
        <is>
          <t>yes</t>
        </is>
      </c>
      <c r="J13" s="85" t="inlineStr">
        <is>
          <t>Chemistry checkpoint</t>
        </is>
      </c>
      <c r="K13" s="85" t="inlineStr">
        <is>
          <t>No DTW</t>
        </is>
      </c>
      <c r="L13" s="85" t="n"/>
    </row>
    <row r="14">
      <c r="A14" s="85" t="inlineStr">
        <is>
          <t>FG10</t>
        </is>
      </c>
      <c r="B14" s="85" t="inlineStr">
        <is>
          <t>well?</t>
        </is>
      </c>
      <c r="C14" s="85">
        <f>Groundwater!B13</f>
        <v/>
      </c>
      <c r="D14" s="85">
        <f>Groundwater!C13</f>
        <v/>
      </c>
      <c r="E14" s="85">
        <f>Groundwater!G13</f>
        <v/>
      </c>
      <c r="F14" s="85">
        <f>Groundwater!H13</f>
        <v/>
      </c>
      <c r="G14" s="85">
        <f>Groundwater!I13</f>
        <v/>
      </c>
      <c r="H14" s="85" t="inlineStr">
        <is>
          <t>EC 132.8 µS/cm</t>
        </is>
      </c>
      <c r="I14" s="85" t="inlineStr">
        <is>
          <t>yes</t>
        </is>
      </c>
      <c r="J14" s="85" t="inlineStr">
        <is>
          <t>Chemistry checkpoint</t>
        </is>
      </c>
      <c r="K14" s="85" t="inlineStr">
        <is>
          <t>No GNSS in workbook yet</t>
        </is>
      </c>
    </row>
  </sheetData>
  <mergeCells count="2">
    <mergeCell ref="A1:L1"/>
    <mergeCell ref="A10:L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E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8" customWidth="1" style="80" min="1" max="1"/>
    <col width="26" customWidth="1" style="80" min="2" max="3"/>
    <col width="30" customWidth="1" style="80" min="4" max="4"/>
    <col width="42" customWidth="1" style="80" min="5" max="5"/>
  </cols>
  <sheetData>
    <row r="1" ht="15" customHeight="1" s="39">
      <c r="A1" s="74" t="inlineStr">
        <is>
          <t>Suggested base-model revision sequence after Fiji field survey</t>
        </is>
      </c>
    </row>
    <row r="3" ht="15" customHeight="1" s="39">
      <c r="A3" s="78" t="inlineStr">
        <is>
          <t>Step</t>
        </is>
      </c>
      <c r="B3" s="78" t="inlineStr">
        <is>
          <t>Goal</t>
        </is>
      </c>
      <c r="C3" s="78" t="inlineStr">
        <is>
          <t>Primary data</t>
        </is>
      </c>
      <c r="D3" s="78" t="inlineStr">
        <is>
          <t>Main parameters/packages</t>
        </is>
      </c>
      <c r="E3" s="78" t="inlineStr">
        <is>
          <t>Notes</t>
        </is>
      </c>
    </row>
    <row r="4" ht="15" customHeight="1" s="39">
      <c r="A4" s="86" t="inlineStr">
        <is>
          <t>1</t>
        </is>
      </c>
      <c r="B4" s="85" t="inlineStr">
        <is>
          <t>Consolidate observation inputs</t>
        </is>
      </c>
      <c r="C4" s="85" t="inlineStr">
        <is>
          <t>Model_River_Obs + Model_GW_Obs</t>
        </is>
      </c>
      <c r="D4" s="85" t="inlineStr">
        <is>
          <t>Observation tables only</t>
        </is>
      </c>
      <c r="E4" s="85" t="inlineStr">
        <is>
          <t>Finish coordinates, depth to water, EC notes, and exact EGM96 N later.</t>
        </is>
      </c>
    </row>
    <row r="5" ht="15" customHeight="1" s="39">
      <c r="A5" s="86" t="inlineStr">
        <is>
          <t>2</t>
        </is>
      </c>
      <c r="B5" s="85" t="inlineStr">
        <is>
          <t>Update river boundary elevations</t>
        </is>
      </c>
      <c r="C5" s="85" t="inlineStr">
        <is>
          <t>FR2-FR6 sections</t>
        </is>
      </c>
      <c r="D5" s="85" t="inlineStr">
        <is>
          <t>RIV stage / riverbed or DRN reference elevations</t>
        </is>
      </c>
      <c r="E5" s="85" t="inlineStr">
        <is>
          <t>Use section mean stage and mean bed elevation from reduced cross-sections.</t>
        </is>
      </c>
    </row>
    <row r="6" ht="15" customHeight="1" s="39">
      <c r="A6" s="86" t="inlineStr">
        <is>
          <t>3</t>
        </is>
      </c>
      <c r="B6" s="85" t="inlineStr">
        <is>
          <t>Match main-basin discharge</t>
        </is>
      </c>
      <c r="C6" s="85" t="inlineStr">
        <is>
          <t>FR2, FR3</t>
        </is>
      </c>
      <c r="D6" s="85" t="inlineStr">
        <is>
          <t>Recharge zones, K zones, river conductance, coastal boundary strength</t>
        </is>
      </c>
      <c r="E6" s="85" t="inlineStr">
        <is>
          <t>Main basin should be matched before small tributaries.</t>
        </is>
      </c>
    </row>
    <row r="7" ht="15" customHeight="1" s="39">
      <c r="A7" s="86" t="inlineStr">
        <is>
          <t>4</t>
        </is>
      </c>
      <c r="B7" s="85" t="inlineStr">
        <is>
          <t>Match neighboring small basin</t>
        </is>
      </c>
      <c r="C7" s="85" t="inlineStr">
        <is>
          <t>FR4</t>
        </is>
      </c>
      <c r="D7" s="85" t="inlineStr">
        <is>
          <t>Recharge zone in adjacent basin, local K, local river conductance</t>
        </is>
      </c>
      <c r="E7" s="85" t="inlineStr">
        <is>
          <t>Use FR4 as small-basin constraint.</t>
        </is>
      </c>
    </row>
    <row r="8" ht="15" customHeight="1" s="39">
      <c r="A8" s="86" t="inlineStr">
        <is>
          <t>5</t>
        </is>
      </c>
      <c r="B8" s="85" t="inlineStr">
        <is>
          <t>Check upper-basin structure</t>
        </is>
      </c>
      <c r="C8" s="85" t="inlineStr">
        <is>
          <t>FR5, FR6, FR7</t>
        </is>
      </c>
      <c r="D8" s="85" t="inlineStr">
        <is>
          <t>Upper-zone recharge and drainage structure</t>
        </is>
      </c>
      <c r="E8" s="85" t="inlineStr">
        <is>
          <t>Need correct discharge increase from FR7 to FR6.</t>
        </is>
      </c>
    </row>
    <row r="9" ht="15" customHeight="1" s="39">
      <c r="A9" s="86" t="inlineStr">
        <is>
          <t>6</t>
        </is>
      </c>
      <c r="B9" s="85" t="inlineStr">
        <is>
          <t>Match groundwater heads</t>
        </is>
      </c>
      <c r="C9" s="85" t="inlineStr">
        <is>
          <t>FG1, FG2, coastal well</t>
        </is>
      </c>
      <c r="D9" s="85" t="inlineStr">
        <is>
          <t>Recharge, K, coastal boundary, river interaction</t>
        </is>
      </c>
      <c r="E9" s="85" t="inlineStr">
        <is>
          <t>Coastal fresh well is especially valuable.</t>
        </is>
      </c>
    </row>
    <row r="10" ht="15" customHeight="1" s="39">
      <c r="A10" s="80" t="inlineStr">
        <is>
          <t>7</t>
        </is>
      </c>
      <c r="B10" s="80" t="inlineStr">
        <is>
          <t>Interpret with tracers</t>
        </is>
      </c>
      <c r="C10" s="80" t="inlineStr">
        <is>
          <t>FG3, coastal well, future SF6 / isotopes</t>
        </is>
      </c>
      <c r="D10" s="80" t="inlineStr">
        <is>
          <t>Conceptual model support only</t>
        </is>
      </c>
      <c r="E10" s="80" t="inlineStr">
        <is>
          <t>Use for plausibility, recharge origin, and residence-time interpretation.</t>
        </is>
      </c>
    </row>
    <row r="12" ht="15" customHeight="1" s="39">
      <c r="A12" s="78" t="inlineStr">
        <is>
          <t>Immediate to-do</t>
        </is>
      </c>
    </row>
    <row r="13" ht="15" customHeight="1" s="39">
      <c r="A13" s="85" t="inlineStr">
        <is>
          <t>A</t>
        </is>
      </c>
      <c r="B13" s="85" t="inlineStr">
        <is>
          <t>Enter FG1 / FG2 depth to water</t>
        </is>
      </c>
      <c r="C13" s="85" t="n"/>
      <c r="D13" s="85" t="n"/>
      <c r="E13" s="85" t="n"/>
    </row>
    <row r="14" ht="15" customHeight="1" s="39">
      <c r="A14" s="85" t="inlineStr">
        <is>
          <t>B</t>
        </is>
      </c>
      <c r="B14" s="85" t="inlineStr">
        <is>
          <t>Add coastal well coordinates, ground elevation basis, DTW, and EC</t>
        </is>
      </c>
      <c r="C14" s="85" t="n"/>
      <c r="D14" s="85" t="n"/>
      <c r="E14" s="85" t="n"/>
    </row>
    <row r="15" ht="15" customHeight="1" s="39">
      <c r="A15" s="85" t="inlineStr">
        <is>
          <t>C</t>
        </is>
      </c>
      <c r="B15" s="85" t="inlineStr">
        <is>
          <t>Replace provisional geoid N = 55 m with exact EGM96 values when available</t>
        </is>
      </c>
      <c r="C15" s="85" t="n"/>
      <c r="D15" s="85" t="n"/>
      <c r="E15" s="85" t="n"/>
    </row>
    <row r="16" ht="15" customHeight="1" s="39">
      <c r="A16" s="85" t="inlineStr">
        <is>
          <t>D</t>
        </is>
      </c>
      <c r="B16" s="85" t="inlineStr">
        <is>
          <t>Move river observation table into notebook and compare simulated vs observed discharge</t>
        </is>
      </c>
      <c r="C16" s="85" t="n"/>
      <c r="D16" s="85" t="n"/>
      <c r="E16" s="85" t="n"/>
    </row>
  </sheetData>
  <mergeCells count="2">
    <mergeCell ref="A1:E1"/>
    <mergeCell ref="A12:E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K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1" customWidth="1" style="80" min="1" max="1"/>
    <col width="18" customWidth="1" style="80" min="2" max="2"/>
    <col width="16" customWidth="1" style="80" min="3" max="3"/>
    <col width="18" customWidth="1" style="80" min="4" max="4"/>
    <col width="14" customWidth="1" style="80" min="5" max="5"/>
    <col width="18" customWidth="1" style="80" min="6" max="6"/>
    <col width="14" customWidth="1" style="80" min="7" max="7"/>
    <col width="16" customWidth="1" style="80" min="8" max="10"/>
    <col width="24" customWidth="1" style="80" min="11" max="11"/>
  </cols>
  <sheetData>
    <row r="1" ht="21.75" customHeight="1" s="39">
      <c r="A1" s="40" t="inlineStr">
        <is>
          <t>FR2 repeat cross-section (2026-03-24)</t>
        </is>
      </c>
    </row>
    <row r="2" ht="21.75" customHeight="1" s="39"/>
    <row r="3" ht="21.75" customHeight="1" s="39">
      <c r="A3" s="46" t="inlineStr">
        <is>
          <t>Metadata</t>
        </is>
      </c>
      <c r="B3" s="46" t="inlineStr">
        <is>
          <t>Value</t>
        </is>
      </c>
    </row>
    <row r="4" ht="21.75" customHeight="1" s="39">
      <c r="A4" s="46" t="inlineStr">
        <is>
          <t>Site</t>
        </is>
      </c>
      <c r="B4" s="46" t="inlineStr">
        <is>
          <t>FR2</t>
        </is>
      </c>
    </row>
    <row r="5" ht="21.75" customHeight="1" s="39">
      <c r="A5" s="46" t="inlineStr">
        <is>
          <t>No.1 point elevation (m)</t>
        </is>
      </c>
      <c r="B5" s="61">
        <f>River_Points!G4</f>
        <v/>
      </c>
    </row>
    <row r="6" ht="21.75" customHeight="1" s="39">
      <c r="A6" s="46" t="inlineStr">
        <is>
          <t>Approx observed Q target (m3/s)</t>
        </is>
      </c>
      <c r="B6" s="61" t="n">
        <v>1.8</v>
      </c>
    </row>
    <row r="7" ht="21.75" customHeight="1" s="39">
      <c r="A7" s="46" t="inlineStr">
        <is>
          <t>Section mean stage (m)</t>
        </is>
      </c>
      <c r="B7" s="61">
        <f>IF(COUNTA(F10:F40)=0,"",AVERAGE(F10:F40))</f>
        <v/>
      </c>
    </row>
    <row r="8" ht="21.75" customHeight="1" s="39">
      <c r="A8" s="46" t="inlineStr">
        <is>
          <t>Section mean bed elev (m)</t>
        </is>
      </c>
      <c r="B8" s="61">
        <f>IF(COUNTA(D10:D40)=0,"",AVERAGE(D10:D40))</f>
        <v/>
      </c>
      <c r="C8" s="62" t="inlineStr">
        <is>
          <t>Rod reading R (m)</t>
        </is>
      </c>
      <c r="D8" s="62" t="inlineStr">
        <is>
          <t>Point elev Z (m)</t>
        </is>
      </c>
      <c r="E8" s="62" t="inlineStr">
        <is>
          <t>Water depth d (m)</t>
        </is>
      </c>
      <c r="F8" s="62" t="inlineStr">
        <is>
          <t>Water surface elev Zw (m)</t>
        </is>
      </c>
      <c r="G8" s="62" t="inlineStr">
        <is>
          <t>Velocity (m/s)</t>
        </is>
      </c>
      <c r="H8" s="62" t="inlineStr">
        <is>
          <t>Assigned subsection width (m)</t>
        </is>
      </c>
      <c r="I8" s="62" t="inlineStr">
        <is>
          <t>Subsection area (m2)</t>
        </is>
      </c>
      <c r="J8" s="62" t="inlineStr">
        <is>
          <t>Subsection Q (m3/s)</t>
        </is>
      </c>
      <c r="K8" s="62" t="inlineStr">
        <is>
          <t>Notes</t>
        </is>
      </c>
    </row>
    <row r="9" ht="21.75" customHeight="1" s="39">
      <c r="A9" s="46" t="inlineStr">
        <is>
          <t>Computed total Q (m3/s)</t>
        </is>
      </c>
      <c r="B9" s="61">
        <f>IF(COUNTA(J10:J40)=0,"",SUM(J10:J40))</f>
        <v/>
      </c>
      <c r="C9" s="52" t="n"/>
      <c r="D9" s="54">
        <f>IF(C9="","",$B$5+($C$9-C9))</f>
        <v/>
      </c>
      <c r="E9" s="52" t="n"/>
      <c r="F9" s="54">
        <f>IF(OR(D9="",E9=""),"",D9+E9)</f>
        <v/>
      </c>
      <c r="G9" s="52" t="n"/>
      <c r="H9" s="52" t="n"/>
      <c r="I9" s="54">
        <f>IF(OR(E9="",H9=""),"",E9*H9)</f>
        <v/>
      </c>
      <c r="J9" s="54">
        <f>IF(OR(I9="",G9=""),"",I9*G9)</f>
        <v/>
      </c>
      <c r="K9" s="60" t="inlineStr">
        <is>
          <t>GNSS point on ground near river</t>
        </is>
      </c>
    </row>
    <row r="10" ht="21.75" customHeight="1" s="39">
      <c r="A10" s="63" t="inlineStr">
        <is>
          <t>No.2</t>
        </is>
      </c>
      <c r="B10" s="52" t="n">
        <v>5</v>
      </c>
      <c r="C10" s="52" t="n"/>
      <c r="D10" s="54">
        <f>IF(C10="","",$B$5+($C$9-C10))</f>
        <v/>
      </c>
      <c r="E10" s="52" t="n">
        <v>0.5600000000000001</v>
      </c>
      <c r="F10" s="54">
        <f>IF(OR(D10="",E10=""),"",D10+E10)</f>
        <v/>
      </c>
      <c r="G10" s="52" t="n">
        <v>0.32</v>
      </c>
      <c r="H10" s="52" t="n"/>
      <c r="I10" s="54">
        <f>IF(OR(E10="",H10=""),"",E10*H10)</f>
        <v/>
      </c>
      <c r="J10" s="54">
        <f>IF(OR(I10="",G10=""),"",I10*G10)</f>
        <v/>
      </c>
      <c r="K10" s="60" t="n"/>
    </row>
    <row r="11" ht="21.75" customHeight="1" s="39">
      <c r="A11" s="43" t="inlineStr">
        <is>
          <t>Point</t>
        </is>
      </c>
      <c r="B11" s="64" t="inlineStr">
        <is>
          <t>Distance from No.1 (m)</t>
        </is>
      </c>
      <c r="C11" s="64" t="inlineStr">
        <is>
          <t>Rod reading R (m)</t>
        </is>
      </c>
      <c r="D11" s="64" t="inlineStr">
        <is>
          <t>Point/bed elev Z (m)</t>
        </is>
      </c>
      <c r="E11" s="64" t="inlineStr">
        <is>
          <t>Water depth d (m)</t>
        </is>
      </c>
      <c r="F11" s="64" t="inlineStr">
        <is>
          <t>Water surface elev Zw (m)</t>
        </is>
      </c>
      <c r="G11" s="64" t="inlineStr">
        <is>
          <t>Velocity (m/s)</t>
        </is>
      </c>
      <c r="H11" s="64" t="inlineStr">
        <is>
          <t>Mid-section width (m)</t>
        </is>
      </c>
      <c r="I11" s="64" t="inlineStr">
        <is>
          <t>Subsection area (m2)</t>
        </is>
      </c>
      <c r="J11" s="64" t="inlineStr">
        <is>
          <t>Subsection Q (m3/s)</t>
        </is>
      </c>
      <c r="K11" s="43" t="inlineStr">
        <is>
          <t>Notes</t>
        </is>
      </c>
    </row>
    <row r="12" ht="21.75" customHeight="1" s="39">
      <c r="A12" s="65" t="inlineStr">
        <is>
          <t>No.1</t>
        </is>
      </c>
      <c r="B12" s="66" t="n">
        <v>0</v>
      </c>
      <c r="C12" s="66" t="n">
        <v>1.783</v>
      </c>
      <c r="D12" s="67">
        <f>IF(C12="","",$B$5+($C$12-C12))</f>
        <v/>
      </c>
      <c r="E12" s="66" t="n"/>
      <c r="F12" s="67">
        <f>IF(OR(D12="",E12=""),"",D12+E12)</f>
        <v/>
      </c>
      <c r="G12" s="66" t="n"/>
      <c r="H12" s="68">
        <f>IF(B13="","",B13/2)</f>
        <v/>
      </c>
      <c r="I12" s="67">
        <f>IF(OR(E12="",H12=""),"",E12*H12)</f>
        <v/>
      </c>
      <c r="J12" s="67">
        <f>IF(OR(I12="",G12=""),"",I12*G12)</f>
        <v/>
      </c>
      <c r="K12" s="69" t="inlineStr">
        <is>
          <t>GNSS point on ground near river; repeat measurement during pressure sensor recovery.</t>
        </is>
      </c>
    </row>
    <row r="13" ht="21.75" customHeight="1" s="39">
      <c r="A13" s="65" t="inlineStr">
        <is>
          <t>No.2</t>
        </is>
      </c>
      <c r="B13" s="66" t="n">
        <v>3</v>
      </c>
      <c r="C13" s="66" t="n">
        <v>2.421</v>
      </c>
      <c r="D13" s="67">
        <f>IF(C13="","",$B$5+($C$12-C13))</f>
        <v/>
      </c>
      <c r="E13" s="66" t="n">
        <v>0.53</v>
      </c>
      <c r="F13" s="67">
        <f>IF(OR(D13="",E13=""),"",D13+E13)</f>
        <v/>
      </c>
      <c r="G13" s="66" t="n">
        <v>0.385</v>
      </c>
      <c r="H13" s="68">
        <f>IF(OR(B14="",B12=""),"", (B14-B12)/2)</f>
        <v/>
      </c>
      <c r="I13" s="67">
        <f>IF(OR(E13="",H13=""),"",E13*H13)</f>
        <v/>
      </c>
      <c r="J13" s="67">
        <f>IF(OR(I13="",G13=""),"",I13*G13)</f>
        <v/>
      </c>
      <c r="K13" s="69" t="n"/>
    </row>
    <row r="14" ht="21.75" customHeight="1" s="39">
      <c r="A14" s="65" t="inlineStr">
        <is>
          <t>No.3</t>
        </is>
      </c>
      <c r="B14" s="66" t="n">
        <v>6</v>
      </c>
      <c r="C14" s="66" t="n">
        <v>2.455</v>
      </c>
      <c r="D14" s="67">
        <f>IF(C14="","",$B$5+($C$12-C14))</f>
        <v/>
      </c>
      <c r="E14" s="66" t="n">
        <v>0.525</v>
      </c>
      <c r="F14" s="67">
        <f>IF(OR(D14="",E14=""),"",D14+E14)</f>
        <v/>
      </c>
      <c r="G14" s="66" t="n">
        <v>0.366</v>
      </c>
      <c r="H14" s="68">
        <f>IF(OR(B15="",B13=""),"", (B15-B13)/2)</f>
        <v/>
      </c>
      <c r="I14" s="67">
        <f>IF(OR(E14="",H14=""),"",E14*H14)</f>
        <v/>
      </c>
      <c r="J14" s="67">
        <f>IF(OR(I14="",G14=""),"",I14*G14)</f>
        <v/>
      </c>
      <c r="K14" s="69" t="n"/>
    </row>
    <row r="15" ht="21.75" customHeight="1" s="39">
      <c r="A15" s="65" t="inlineStr">
        <is>
          <t>No.4</t>
        </is>
      </c>
      <c r="B15" s="66" t="n">
        <v>9</v>
      </c>
      <c r="C15" s="66" t="n">
        <v>2.203</v>
      </c>
      <c r="D15" s="67">
        <f>IF(C15="","",$B$5+($C$12-C15))</f>
        <v/>
      </c>
      <c r="E15" s="66" t="n">
        <v>0.305</v>
      </c>
      <c r="F15" s="67">
        <f>IF(OR(D15="",E15=""),"",D15+E15)</f>
        <v/>
      </c>
      <c r="G15" s="66" t="n">
        <v>0.302</v>
      </c>
      <c r="H15" s="68">
        <f>IF(OR(B16="",B14=""),"", (B16-B14)/2)</f>
        <v/>
      </c>
      <c r="I15" s="67">
        <f>IF(OR(E15="",H15=""),"",E15*H15)</f>
        <v/>
      </c>
      <c r="J15" s="67">
        <f>IF(OR(I15="",G15=""),"",I15*G15)</f>
        <v/>
      </c>
      <c r="K15" s="69" t="n"/>
    </row>
    <row r="16" ht="21.75" customHeight="1" s="39">
      <c r="A16" s="63" t="inlineStr">
        <is>
          <t>No.5</t>
        </is>
      </c>
      <c r="B16" s="52" t="n">
        <v>12</v>
      </c>
      <c r="C16" s="52" t="n">
        <v>2.046</v>
      </c>
      <c r="D16" s="54">
        <f>IF(C16="","",$B$5+($C$12-C16))</f>
        <v/>
      </c>
      <c r="E16" s="52" t="n">
        <v>0.14</v>
      </c>
      <c r="F16" s="54">
        <f>IF(OR(D16="",E16=""),"",D16+E16)</f>
        <v/>
      </c>
      <c r="G16" s="52" t="n">
        <v>0.342</v>
      </c>
      <c r="H16" s="52">
        <f>IF(OR(B16="",B15=""),"", (B16-B15)/2)</f>
        <v/>
      </c>
      <c r="I16" s="54">
        <f>IF(OR(E16="",H16=""),"",E16*H16)</f>
        <v/>
      </c>
      <c r="J16" s="54">
        <f>IF(OR(I16="",G16=""),"",I16*G16)</f>
        <v/>
      </c>
      <c r="K16" s="60" t="inlineStr">
        <is>
          <t>Turbidity noted around 0.3 NTU in field book.</t>
        </is>
      </c>
    </row>
    <row r="17" ht="21.75" customHeight="1" s="39">
      <c r="B17" s="70" t="n"/>
      <c r="C17" s="70" t="n"/>
      <c r="D17" s="70" t="n"/>
      <c r="E17" s="70" t="n"/>
      <c r="F17" s="70" t="n"/>
      <c r="G17" s="70" t="n"/>
      <c r="H17" s="70" t="n"/>
      <c r="I17" s="70" t="n"/>
      <c r="J17" s="70" t="n"/>
    </row>
    <row r="18" ht="21.75" customHeight="1" s="39">
      <c r="B18" s="70" t="n"/>
      <c r="C18" s="70" t="n"/>
      <c r="D18" s="70" t="n"/>
      <c r="E18" s="70" t="n"/>
      <c r="F18" s="70" t="n"/>
      <c r="G18" s="70" t="n"/>
      <c r="H18" s="70" t="n"/>
      <c r="I18" s="70" t="n"/>
      <c r="J18" s="70" t="n"/>
    </row>
    <row r="19" ht="21.75" customHeight="1" s="39">
      <c r="B19" s="70" t="n"/>
      <c r="C19" s="70" t="n"/>
      <c r="D19" s="70" t="n"/>
      <c r="E19" s="70" t="n"/>
      <c r="F19" s="70" t="n"/>
      <c r="G19" s="70" t="n"/>
      <c r="H19" s="70" t="n"/>
      <c r="I19" s="70" t="n"/>
      <c r="J19" s="70" t="n"/>
    </row>
    <row r="20" ht="21.75" customHeight="1" s="39">
      <c r="B20" s="70" t="n"/>
      <c r="C20" s="70" t="n"/>
      <c r="D20" s="70" t="n"/>
      <c r="E20" s="70" t="n"/>
      <c r="F20" s="70" t="n"/>
      <c r="G20" s="70" t="n"/>
      <c r="H20" s="70" t="n"/>
      <c r="I20" s="70" t="n"/>
      <c r="J20" s="70" t="n"/>
    </row>
    <row r="21" ht="21.75" customHeight="1" s="39">
      <c r="B21" s="70" t="n"/>
      <c r="C21" s="70" t="n"/>
      <c r="D21" s="70" t="n"/>
      <c r="E21" s="70" t="n"/>
      <c r="F21" s="70" t="n"/>
      <c r="G21" s="70" t="n"/>
      <c r="H21" s="70" t="n"/>
      <c r="I21" s="70" t="n"/>
      <c r="J21" s="70" t="n"/>
    </row>
    <row r="22" ht="21.75" customHeight="1" s="39">
      <c r="B22" s="70" t="n"/>
      <c r="C22" s="70" t="n"/>
      <c r="D22" s="70" t="n"/>
      <c r="E22" s="70" t="n"/>
      <c r="F22" s="70" t="n"/>
      <c r="G22" s="70" t="n"/>
      <c r="H22" s="70" t="n"/>
      <c r="I22" s="70" t="n"/>
      <c r="J22" s="70" t="n"/>
    </row>
    <row r="23" ht="21.75" customHeight="1" s="39">
      <c r="B23" s="70" t="n"/>
      <c r="C23" s="70" t="n"/>
      <c r="D23" s="70" t="n"/>
      <c r="E23" s="70" t="n"/>
      <c r="F23" s="70" t="n"/>
      <c r="G23" s="70" t="n"/>
      <c r="H23" s="70" t="n"/>
      <c r="I23" s="70" t="n"/>
      <c r="J23" s="70" t="n"/>
    </row>
    <row r="24" ht="21.75" customHeight="1" s="39">
      <c r="B24" s="70" t="n"/>
      <c r="C24" s="70" t="n"/>
      <c r="D24" s="70" t="n"/>
      <c r="E24" s="70" t="n"/>
      <c r="F24" s="70" t="n"/>
      <c r="G24" s="70" t="n"/>
      <c r="H24" s="70" t="n"/>
      <c r="I24" s="70" t="n"/>
      <c r="J24" s="70" t="n"/>
    </row>
    <row r="25" ht="21.75" customHeight="1" s="39">
      <c r="B25" s="70" t="n"/>
      <c r="C25" s="70" t="n"/>
      <c r="D25" s="70" t="n"/>
      <c r="E25" s="70" t="n"/>
      <c r="F25" s="70" t="n"/>
      <c r="G25" s="70" t="n"/>
      <c r="H25" s="70" t="n"/>
      <c r="I25" s="70" t="n"/>
      <c r="J25" s="70" t="n"/>
    </row>
    <row r="26" ht="21.75" customHeight="1" s="39">
      <c r="B26" s="70" t="n"/>
      <c r="C26" s="70" t="n"/>
      <c r="D26" s="70" t="n"/>
      <c r="E26" s="70" t="n"/>
      <c r="F26" s="70" t="n"/>
      <c r="G26" s="70" t="n"/>
      <c r="H26" s="70" t="n"/>
      <c r="I26" s="70" t="n"/>
      <c r="J26" s="70" t="n"/>
    </row>
    <row r="27" ht="21.75" customHeight="1" s="39">
      <c r="B27" s="70" t="n"/>
      <c r="C27" s="70" t="n"/>
      <c r="D27" s="70" t="n"/>
      <c r="E27" s="70" t="n"/>
      <c r="F27" s="70" t="n"/>
      <c r="G27" s="70" t="n"/>
      <c r="H27" s="70" t="n"/>
      <c r="I27" s="70" t="n"/>
      <c r="J27" s="70" t="n"/>
    </row>
    <row r="28" ht="21.75" customHeight="1" s="39">
      <c r="B28" s="70" t="n"/>
      <c r="C28" s="70" t="n"/>
      <c r="D28" s="70" t="n"/>
      <c r="E28" s="70" t="n"/>
      <c r="F28" s="70" t="n"/>
      <c r="G28" s="70" t="n"/>
      <c r="H28" s="70" t="n"/>
      <c r="I28" s="70" t="n"/>
      <c r="J28" s="70" t="n"/>
    </row>
    <row r="29" ht="21.75" customHeight="1" s="39">
      <c r="B29" s="70" t="n"/>
      <c r="C29" s="70" t="n"/>
      <c r="D29" s="70" t="n"/>
      <c r="E29" s="70" t="n"/>
      <c r="F29" s="70" t="n"/>
      <c r="G29" s="70" t="n"/>
      <c r="H29" s="70" t="n"/>
      <c r="I29" s="70" t="n"/>
      <c r="J29" s="70" t="n"/>
    </row>
    <row r="30" ht="21.75" customHeight="1" s="39">
      <c r="B30" s="70" t="n"/>
      <c r="C30" s="70" t="n"/>
      <c r="D30" s="70" t="n"/>
      <c r="E30" s="70" t="n"/>
      <c r="F30" s="70" t="n"/>
      <c r="G30" s="70" t="n"/>
      <c r="H30" s="70" t="n"/>
      <c r="I30" s="70" t="n"/>
      <c r="J30" s="70" t="n"/>
    </row>
    <row r="31" ht="21.75" customHeight="1" s="39">
      <c r="B31" s="70" t="n"/>
      <c r="C31" s="70" t="n"/>
      <c r="D31" s="70" t="n"/>
      <c r="E31" s="70" t="n"/>
      <c r="F31" s="70" t="n"/>
      <c r="G31" s="70" t="n"/>
      <c r="H31" s="70" t="n"/>
      <c r="I31" s="70" t="n"/>
      <c r="J31" s="70" t="n"/>
    </row>
    <row r="32" ht="21.75" customHeight="1" s="39">
      <c r="B32" s="70" t="n"/>
      <c r="C32" s="70" t="n"/>
      <c r="D32" s="70" t="n"/>
      <c r="E32" s="70" t="n"/>
      <c r="F32" s="70" t="n"/>
      <c r="G32" s="70" t="n"/>
      <c r="H32" s="70" t="n"/>
      <c r="I32" s="70" t="n"/>
      <c r="J32" s="70" t="n"/>
    </row>
    <row r="33" ht="21.75" customHeight="1" s="39">
      <c r="B33" s="70" t="n"/>
      <c r="C33" s="70" t="n"/>
      <c r="D33" s="70" t="n"/>
      <c r="E33" s="70" t="n"/>
      <c r="F33" s="70" t="n"/>
      <c r="G33" s="70" t="n"/>
      <c r="H33" s="70" t="n"/>
      <c r="I33" s="70" t="n"/>
      <c r="J33" s="70" t="n"/>
    </row>
    <row r="34" ht="21.75" customHeight="1" s="39">
      <c r="B34" s="70" t="n"/>
      <c r="C34" s="70" t="n"/>
      <c r="D34" s="70" t="n"/>
      <c r="E34" s="70" t="n"/>
      <c r="F34" s="70" t="n"/>
      <c r="G34" s="70" t="n"/>
      <c r="H34" s="70" t="n"/>
      <c r="I34" s="70" t="n"/>
      <c r="J34" s="70" t="n"/>
    </row>
    <row r="35" ht="21.75" customHeight="1" s="39">
      <c r="B35" s="70" t="n"/>
      <c r="C35" s="70" t="n"/>
      <c r="D35" s="70" t="n"/>
      <c r="E35" s="70" t="n"/>
      <c r="F35" s="70" t="n"/>
      <c r="G35" s="70" t="n"/>
      <c r="H35" s="70" t="n"/>
      <c r="I35" s="70" t="n"/>
      <c r="J35" s="70" t="n"/>
    </row>
    <row r="36" ht="21.75" customHeight="1" s="39">
      <c r="B36" s="70" t="n"/>
      <c r="C36" s="70" t="n"/>
      <c r="D36" s="70" t="n"/>
      <c r="E36" s="70" t="n"/>
      <c r="F36" s="70" t="n"/>
      <c r="G36" s="70" t="n"/>
      <c r="H36" s="70" t="n"/>
      <c r="I36" s="70" t="n"/>
      <c r="J36" s="70" t="n"/>
    </row>
    <row r="37" ht="21.75" customHeight="1" s="39">
      <c r="B37" s="70" t="n"/>
      <c r="C37" s="70" t="n"/>
      <c r="D37" s="70" t="n"/>
      <c r="E37" s="70" t="n"/>
      <c r="F37" s="70" t="n"/>
      <c r="G37" s="70" t="n"/>
      <c r="H37" s="70" t="n"/>
      <c r="I37" s="70" t="n"/>
      <c r="J37" s="70" t="n"/>
    </row>
    <row r="38" ht="21.75" customHeight="1" s="39">
      <c r="B38" s="70" t="n"/>
      <c r="C38" s="70" t="n"/>
      <c r="D38" s="70" t="n"/>
      <c r="E38" s="70" t="n"/>
      <c r="F38" s="70" t="n"/>
      <c r="G38" s="70" t="n"/>
      <c r="H38" s="70" t="n"/>
      <c r="I38" s="70" t="n"/>
      <c r="J38" s="70" t="n"/>
    </row>
    <row r="39" ht="21.75" customHeight="1" s="39">
      <c r="B39" s="70" t="n"/>
      <c r="C39" s="70" t="n"/>
      <c r="D39" s="70" t="n"/>
      <c r="E39" s="70" t="n"/>
      <c r="F39" s="70" t="n"/>
      <c r="G39" s="70" t="n"/>
      <c r="H39" s="70" t="n"/>
      <c r="I39" s="70" t="n"/>
      <c r="J39" s="70" t="n"/>
    </row>
    <row r="40" ht="21.75" customHeight="1" s="39"/>
    <row r="41" ht="21.75" customHeight="1" s="39"/>
    <row r="42" ht="21.75" customHeight="1" s="39"/>
    <row r="43" ht="21.75" customHeight="1" s="39"/>
    <row r="44" ht="21.75" customHeight="1" s="39"/>
  </sheetData>
  <mergeCells count="1">
    <mergeCell ref="A1:K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style="39" min="1" max="1"/>
    <col width="12" customWidth="1" style="39" min="2" max="2"/>
    <col width="8" customWidth="1" style="39" min="3" max="3"/>
    <col width="18" customWidth="1" style="39" min="4" max="4"/>
    <col width="12" customWidth="1" style="39" min="5" max="5"/>
    <col width="12" customWidth="1" style="39" min="6" max="6"/>
    <col width="8" customWidth="1" style="39" min="7" max="7"/>
    <col width="12" customWidth="1" style="39" min="8" max="8"/>
    <col width="10" customWidth="1" style="39" min="9" max="9"/>
    <col width="10" customWidth="1" style="39" min="10" max="10"/>
    <col width="10" customWidth="1" style="39" min="11" max="11"/>
    <col width="10" customWidth="1" style="39" min="12" max="12"/>
    <col width="10" customWidth="1" style="39" min="13" max="13"/>
    <col width="12" customWidth="1" style="39" min="14" max="14"/>
    <col width="12" customWidth="1" style="39" min="15" max="15"/>
    <col width="24" customWidth="1" style="39" min="16" max="16"/>
    <col width="40" customWidth="1" style="39" min="17" max="17"/>
  </cols>
  <sheetData>
    <row r="1">
      <c r="A1" s="87" t="inlineStr">
        <is>
          <t>Field water chemistry notes (best-effort transcription)</t>
        </is>
      </c>
    </row>
    <row r="3">
      <c r="A3" s="88" t="inlineStr">
        <is>
          <t>Site</t>
        </is>
      </c>
      <c r="B3" s="88" t="inlineStr">
        <is>
          <t>Date</t>
        </is>
      </c>
      <c r="C3" s="88" t="inlineStr">
        <is>
          <t>Time</t>
        </is>
      </c>
      <c r="D3" s="88" t="inlineStr">
        <is>
          <t>Type</t>
        </is>
      </c>
      <c r="E3" s="88" t="inlineStr">
        <is>
          <t>Lat</t>
        </is>
      </c>
      <c r="F3" s="88" t="inlineStr">
        <is>
          <t>Lon</t>
        </is>
      </c>
      <c r="G3" s="88" t="inlineStr">
        <is>
          <t>pH</t>
        </is>
      </c>
      <c r="H3" s="88" t="inlineStr">
        <is>
          <t>EC (µS/cm)</t>
        </is>
      </c>
      <c r="I3" s="88" t="inlineStr">
        <is>
          <t>ORP (mV)</t>
        </is>
      </c>
      <c r="J3" s="88" t="inlineStr">
        <is>
          <t>DO1 (mg/L)</t>
        </is>
      </c>
      <c r="K3" s="88" t="inlineStr">
        <is>
          <t>DO2 (mg/L)</t>
        </is>
      </c>
      <c r="L3" s="88" t="inlineStr">
        <is>
          <t>Temp1 (°C)</t>
        </is>
      </c>
      <c r="M3" s="88" t="inlineStr">
        <is>
          <t>Temp2 (°C)</t>
        </is>
      </c>
      <c r="N3" s="88" t="inlineStr">
        <is>
          <t>Turbidity</t>
        </is>
      </c>
      <c r="O3" s="88" t="inlineStr">
        <is>
          <t>Wellhead (m)</t>
        </is>
      </c>
      <c r="P3" s="88" t="inlineStr">
        <is>
          <t>Water level / DTW note</t>
        </is>
      </c>
      <c r="Q3" s="88" t="inlineStr">
        <is>
          <t>Other notes</t>
        </is>
      </c>
    </row>
    <row r="4">
      <c r="A4" s="89" t="inlineStr">
        <is>
          <t>FG1?</t>
        </is>
      </c>
      <c r="B4" s="89" t="inlineStr">
        <is>
          <t>2026-03-20</t>
        </is>
      </c>
      <c r="C4" s="89" t="inlineStr">
        <is>
          <t>09:45</t>
        </is>
      </c>
      <c r="D4" s="89" t="inlineStr">
        <is>
          <t>well?</t>
        </is>
      </c>
      <c r="E4" s="90" t="n"/>
      <c r="F4" s="90" t="n"/>
      <c r="G4" s="91" t="n">
        <v>7.82</v>
      </c>
      <c r="H4" s="91" t="n">
        <v>6170</v>
      </c>
      <c r="I4" s="91" t="n">
        <v>164.2</v>
      </c>
      <c r="J4" s="91" t="n">
        <v>4.24</v>
      </c>
      <c r="K4" s="91" t="n">
        <v>6.13</v>
      </c>
      <c r="L4" s="91" t="n">
        <v>25</v>
      </c>
      <c r="M4" s="91" t="n">
        <v>28.6</v>
      </c>
      <c r="N4" s="91" t="n">
        <v>3.3</v>
      </c>
      <c r="O4" s="91" t="n"/>
      <c r="P4" s="89" t="n"/>
      <c r="Q4" s="89" t="inlineStr">
        <is>
          <t>Top-left sheet label looks like FG1, but EC is much higher than later FG1 sheet; confirm site name</t>
        </is>
      </c>
    </row>
    <row r="5">
      <c r="A5" s="89" t="inlineStr">
        <is>
          <t>FR2</t>
        </is>
      </c>
      <c r="B5" s="89" t="inlineStr">
        <is>
          <t>2026-03-20</t>
        </is>
      </c>
      <c r="C5" s="89" t="inlineStr">
        <is>
          <t>11:15</t>
        </is>
      </c>
      <c r="D5" s="89" t="inlineStr">
        <is>
          <t>river</t>
        </is>
      </c>
      <c r="E5" s="90" t="n">
        <v>-17.3803293</v>
      </c>
      <c r="F5" s="90" t="n">
        <v>178.1541107</v>
      </c>
      <c r="G5" s="91" t="n">
        <v>8.15</v>
      </c>
      <c r="H5" s="91" t="n">
        <v>312</v>
      </c>
      <c r="I5" s="91" t="n">
        <v>226.9</v>
      </c>
      <c r="J5" s="91" t="n">
        <v>5.5</v>
      </c>
      <c r="K5" s="91" t="n">
        <v>8.300000000000001</v>
      </c>
      <c r="L5" s="91" t="n">
        <v>25</v>
      </c>
      <c r="M5" s="91" t="n">
        <v>28.1</v>
      </c>
      <c r="N5" s="91" t="n">
        <v>5.9</v>
      </c>
      <c r="O5" s="91" t="n"/>
      <c r="P5" s="89" t="n"/>
      <c r="Q5" s="89" t="inlineStr">
        <is>
          <t>River water chemistry sheet</t>
        </is>
      </c>
    </row>
    <row r="6">
      <c r="A6" s="89" t="inlineStr">
        <is>
          <t>FR3</t>
        </is>
      </c>
      <c r="B6" s="89" t="inlineStr">
        <is>
          <t>2026-03-20</t>
        </is>
      </c>
      <c r="C6" s="89" t="inlineStr">
        <is>
          <t>14:38</t>
        </is>
      </c>
      <c r="D6" s="89" t="inlineStr">
        <is>
          <t>river</t>
        </is>
      </c>
      <c r="E6" s="90" t="n">
        <v>-17.4033547</v>
      </c>
      <c r="F6" s="90" t="n">
        <v>178.1147045</v>
      </c>
      <c r="G6" s="91" t="n">
        <v>8.470000000000001</v>
      </c>
      <c r="H6" s="91" t="n">
        <v>269</v>
      </c>
      <c r="I6" s="91" t="n">
        <v>199.4</v>
      </c>
      <c r="J6" s="91" t="n">
        <v>6.92</v>
      </c>
      <c r="K6" s="91" t="n">
        <v>8.6</v>
      </c>
      <c r="L6" s="91" t="n">
        <v>25</v>
      </c>
      <c r="M6" s="91" t="n">
        <v>30.3</v>
      </c>
      <c r="N6" s="91" t="n">
        <v>0</v>
      </c>
      <c r="O6" s="91" t="n"/>
      <c r="P6" s="89" t="n"/>
      <c r="Q6" s="89" t="inlineStr">
        <is>
          <t>River water chemistry sheet</t>
        </is>
      </c>
    </row>
    <row r="7">
      <c r="A7" s="89" t="inlineStr">
        <is>
          <t>FG1</t>
        </is>
      </c>
      <c r="B7" s="89" t="inlineStr">
        <is>
          <t>2026-03-20</t>
        </is>
      </c>
      <c r="C7" s="89" t="inlineStr">
        <is>
          <t>16:51</t>
        </is>
      </c>
      <c r="D7" s="89" t="inlineStr">
        <is>
          <t>well</t>
        </is>
      </c>
      <c r="E7" s="90" t="n">
        <v>-17.3572541</v>
      </c>
      <c r="F7" s="90" t="n">
        <v>178.1827151</v>
      </c>
      <c r="G7" s="91" t="n">
        <v>6.72</v>
      </c>
      <c r="H7" s="91" t="n">
        <v>323</v>
      </c>
      <c r="I7" s="91" t="n">
        <v>230.1</v>
      </c>
      <c r="J7" s="91" t="n">
        <v>1.23</v>
      </c>
      <c r="K7" s="91" t="n">
        <v>2.9</v>
      </c>
      <c r="L7" s="91" t="n">
        <v>25</v>
      </c>
      <c r="M7" s="91" t="n">
        <v>28.5</v>
      </c>
      <c r="N7" s="91" t="n"/>
      <c r="O7" s="91" t="n"/>
      <c r="P7" s="89" t="inlineStr">
        <is>
          <t>DTW(GL)=2.83 m; well depth(GL)=5.5 m</t>
        </is>
      </c>
      <c r="Q7" s="89" t="inlineStr">
        <is>
          <t>Main FG1 groundwater sheet</t>
        </is>
      </c>
    </row>
    <row r="8">
      <c r="A8" s="89" t="inlineStr">
        <is>
          <t>FG2</t>
        </is>
      </c>
      <c r="B8" s="89" t="inlineStr">
        <is>
          <t>2026-03-20</t>
        </is>
      </c>
      <c r="C8" s="89" t="inlineStr">
        <is>
          <t>17:54</t>
        </is>
      </c>
      <c r="D8" s="89" t="inlineStr">
        <is>
          <t>well</t>
        </is>
      </c>
      <c r="E8" s="90" t="n">
        <v>-17.3585429</v>
      </c>
      <c r="F8" s="90" t="n">
        <v>178.1875365</v>
      </c>
      <c r="G8" s="91" t="n">
        <v>7.06</v>
      </c>
      <c r="H8" s="91" t="n">
        <v>447</v>
      </c>
      <c r="I8" s="91" t="n">
        <v>219.9</v>
      </c>
      <c r="J8" s="91" t="n">
        <v>1.53</v>
      </c>
      <c r="K8" s="91" t="n"/>
      <c r="L8" s="91" t="n">
        <v>25</v>
      </c>
      <c r="M8" s="91" t="n">
        <v>27.3</v>
      </c>
      <c r="N8" s="91" t="n"/>
      <c r="O8" s="91" t="n">
        <v>0.45</v>
      </c>
      <c r="P8" s="89" t="inlineStr">
        <is>
          <t>Sketch values 2.230 m and 3.4 m need interpretation</t>
        </is>
      </c>
      <c r="Q8" s="89" t="inlineStr"/>
    </row>
    <row r="9">
      <c r="A9" s="89" t="inlineStr">
        <is>
          <t>FR5</t>
        </is>
      </c>
      <c r="B9" s="89" t="inlineStr">
        <is>
          <t>2026-03-21</t>
        </is>
      </c>
      <c r="C9" s="89" t="inlineStr">
        <is>
          <t>10:50</t>
        </is>
      </c>
      <c r="D9" s="89" t="inlineStr">
        <is>
          <t>river</t>
        </is>
      </c>
      <c r="E9" s="90" t="n">
        <v>-17.4252996</v>
      </c>
      <c r="F9" s="90" t="n">
        <v>178.0779275</v>
      </c>
      <c r="G9" s="91" t="n">
        <v>8.300000000000001</v>
      </c>
      <c r="H9" s="91" t="n">
        <v>226</v>
      </c>
      <c r="I9" s="91" t="n">
        <v>235.4</v>
      </c>
      <c r="J9" s="91" t="n">
        <v>6.95</v>
      </c>
      <c r="K9" s="91" t="n">
        <v>9</v>
      </c>
      <c r="L9" s="91" t="n">
        <v>25</v>
      </c>
      <c r="M9" s="91" t="n">
        <v>29.7</v>
      </c>
      <c r="N9" s="91" t="n">
        <v>0</v>
      </c>
      <c r="O9" s="91" t="n"/>
      <c r="P9" s="89" t="n"/>
      <c r="Q9" s="89" t="inlineStr">
        <is>
          <t>River water chemistry sheet</t>
        </is>
      </c>
    </row>
    <row r="10">
      <c r="A10" s="89" t="inlineStr">
        <is>
          <t>FR6</t>
        </is>
      </c>
      <c r="B10" s="89" t="inlineStr">
        <is>
          <t>2026-03-21</t>
        </is>
      </c>
      <c r="C10" s="89" t="inlineStr">
        <is>
          <t>11:43</t>
        </is>
      </c>
      <c r="D10" s="89" t="inlineStr">
        <is>
          <t>river</t>
        </is>
      </c>
      <c r="E10" s="90" t="n">
        <v>-17.4211412</v>
      </c>
      <c r="F10" s="90" t="n">
        <v>178.0782976</v>
      </c>
      <c r="G10" s="91" t="n">
        <v>8.43</v>
      </c>
      <c r="H10" s="91" t="n">
        <v>262</v>
      </c>
      <c r="I10" s="91" t="n">
        <v>190.1</v>
      </c>
      <c r="J10" s="91" t="n">
        <v>6.38</v>
      </c>
      <c r="K10" s="91" t="n">
        <v>7.23</v>
      </c>
      <c r="L10" s="91" t="n">
        <v>25</v>
      </c>
      <c r="M10" s="91" t="n">
        <v>33.8</v>
      </c>
      <c r="N10" s="91" t="n">
        <v>0</v>
      </c>
      <c r="O10" s="91" t="n"/>
      <c r="P10" s="89" t="n"/>
      <c r="Q10" s="89" t="inlineStr">
        <is>
          <t>River water chemistry sheet</t>
        </is>
      </c>
    </row>
    <row r="11">
      <c r="A11" s="89" t="inlineStr">
        <is>
          <t>FG3</t>
        </is>
      </c>
      <c r="B11" s="89" t="inlineStr">
        <is>
          <t>2026-03-21</t>
        </is>
      </c>
      <c r="C11" s="89" t="inlineStr">
        <is>
          <t>17:00</t>
        </is>
      </c>
      <c r="D11" s="89" t="inlineStr">
        <is>
          <t>spring</t>
        </is>
      </c>
      <c r="E11" s="90" t="n">
        <v>-17.400438</v>
      </c>
      <c r="F11" s="90" t="n">
        <v>178.2374159</v>
      </c>
      <c r="G11" s="91" t="n">
        <v>8.109999999999999</v>
      </c>
      <c r="H11" s="91" t="n">
        <v>297</v>
      </c>
      <c r="I11" s="91" t="n">
        <v>219.6</v>
      </c>
      <c r="J11" s="91" t="n">
        <v>6.3</v>
      </c>
      <c r="K11" s="91" t="n">
        <v>6.95</v>
      </c>
      <c r="L11" s="91" t="n">
        <v>25</v>
      </c>
      <c r="M11" s="91" t="n">
        <v>33.6</v>
      </c>
      <c r="N11" s="91" t="n"/>
      <c r="O11" s="91" t="n"/>
      <c r="P11" s="89" t="n"/>
      <c r="Q11" s="89" t="inlineStr">
        <is>
          <t>Spring / special water</t>
        </is>
      </c>
    </row>
    <row r="12">
      <c r="A12" s="89" t="inlineStr">
        <is>
          <t>FG4</t>
        </is>
      </c>
      <c r="B12" s="89" t="inlineStr">
        <is>
          <t>2026-03-21</t>
        </is>
      </c>
      <c r="C12" s="89" t="inlineStr">
        <is>
          <t>19:04</t>
        </is>
      </c>
      <c r="D12" s="89" t="inlineStr">
        <is>
          <t>well</t>
        </is>
      </c>
      <c r="E12" s="90" t="n">
        <v>-17.3351989</v>
      </c>
      <c r="F12" s="90" t="n">
        <v>178.2111752</v>
      </c>
      <c r="G12" s="91" t="n">
        <v>7.16</v>
      </c>
      <c r="H12" s="91" t="n">
        <v>542</v>
      </c>
      <c r="I12" s="91" t="n">
        <v>125.9</v>
      </c>
      <c r="J12" s="91" t="n">
        <v>2.79</v>
      </c>
      <c r="K12" s="91" t="n">
        <v>7.63</v>
      </c>
      <c r="L12" s="91" t="n">
        <v>25</v>
      </c>
      <c r="M12" s="91" t="n">
        <v>28.8</v>
      </c>
      <c r="N12" s="91" t="n"/>
      <c r="O12" s="91" t="n">
        <v>0.55</v>
      </c>
      <c r="P12" s="89" t="inlineStr">
        <is>
          <t>Sketch shows 2.910 m</t>
        </is>
      </c>
      <c r="Q12" s="89" t="inlineStr"/>
    </row>
    <row r="13">
      <c r="A13" s="89" t="inlineStr">
        <is>
          <t>FG5</t>
        </is>
      </c>
      <c r="B13" s="89" t="inlineStr">
        <is>
          <t>2026-03-22</t>
        </is>
      </c>
      <c r="C13" s="89" t="inlineStr">
        <is>
          <t>15:22</t>
        </is>
      </c>
      <c r="D13" s="89" t="inlineStr">
        <is>
          <t>warm groundwater</t>
        </is>
      </c>
      <c r="E13" s="90" t="n">
        <v>-17.3587747</v>
      </c>
      <c r="F13" s="90" t="n">
        <v>178.184851</v>
      </c>
      <c r="G13" s="91" t="n">
        <v>6.92</v>
      </c>
      <c r="H13" s="91" t="n">
        <v>693</v>
      </c>
      <c r="I13" s="91" t="n">
        <v>209.6</v>
      </c>
      <c r="J13" s="91" t="n">
        <v>4.76</v>
      </c>
      <c r="K13" s="91" t="n">
        <v>7.06</v>
      </c>
      <c r="L13" s="91" t="n">
        <v>25</v>
      </c>
      <c r="M13" s="91" t="n">
        <v>36.5</v>
      </c>
      <c r="N13" s="91" t="n"/>
      <c r="O13" s="91" t="n"/>
      <c r="P13" s="89" t="n"/>
      <c r="Q13" s="89" t="inlineStr">
        <is>
          <t>Warm water / spring influenced</t>
        </is>
      </c>
    </row>
    <row r="14">
      <c r="A14" s="89" t="inlineStr">
        <is>
          <t>FG6</t>
        </is>
      </c>
      <c r="B14" s="89" t="inlineStr">
        <is>
          <t>2026-03-22</t>
        </is>
      </c>
      <c r="C14" s="89" t="inlineStr">
        <is>
          <t>16:03</t>
        </is>
      </c>
      <c r="D14" s="89" t="inlineStr">
        <is>
          <t>warm groundwater</t>
        </is>
      </c>
      <c r="E14" s="90" t="n">
        <v>-17.4018787</v>
      </c>
      <c r="F14" s="90" t="n">
        <v>178.1379602</v>
      </c>
      <c r="G14" s="91" t="n">
        <v>7.65</v>
      </c>
      <c r="H14" s="91" t="n">
        <v>411</v>
      </c>
      <c r="I14" s="91" t="n">
        <v>137.6</v>
      </c>
      <c r="J14" s="91" t="n">
        <v>1.48</v>
      </c>
      <c r="K14" s="91" t="n">
        <v>1.93</v>
      </c>
      <c r="L14" s="91" t="n">
        <v>25</v>
      </c>
      <c r="M14" s="91" t="n">
        <v>36.7</v>
      </c>
      <c r="N14" s="91" t="n"/>
      <c r="O14" s="91" t="n"/>
      <c r="P14" s="89" t="n"/>
      <c r="Q14" s="89" t="inlineStr">
        <is>
          <t>Warm water / spring influenced</t>
        </is>
      </c>
    </row>
    <row r="15">
      <c r="A15" s="89" t="inlineStr">
        <is>
          <t>FG7</t>
        </is>
      </c>
      <c r="B15" s="89" t="inlineStr">
        <is>
          <t>2026-03-22</t>
        </is>
      </c>
      <c r="C15" s="89" t="inlineStr">
        <is>
          <t>17:44</t>
        </is>
      </c>
      <c r="D15" s="89" t="inlineStr">
        <is>
          <t>well</t>
        </is>
      </c>
      <c r="E15" s="90" t="n">
        <v>-17.4044221</v>
      </c>
      <c r="F15" s="90" t="n">
        <v>178.1325788</v>
      </c>
      <c r="G15" s="91" t="n">
        <v>7.02</v>
      </c>
      <c r="H15" s="91" t="n">
        <v>249</v>
      </c>
      <c r="I15" s="91" t="n">
        <v>-4.4</v>
      </c>
      <c r="J15" s="91" t="n">
        <v>0.4</v>
      </c>
      <c r="K15" s="91" t="n">
        <v>1.29</v>
      </c>
      <c r="L15" s="91" t="n">
        <v>25</v>
      </c>
      <c r="M15" s="91" t="n">
        <v>27.4</v>
      </c>
      <c r="N15" s="91" t="n"/>
      <c r="O15" s="91" t="n">
        <v>0.42</v>
      </c>
      <c r="P15" s="89" t="inlineStr">
        <is>
          <t>Sketch shows 5.1 m and ~7.75 m</t>
        </is>
      </c>
      <c r="Q15" s="89" t="inlineStr">
        <is>
          <t>Need depth interpretation</t>
        </is>
      </c>
    </row>
    <row r="16">
      <c r="A16" s="89" t="inlineStr">
        <is>
          <t>FG8</t>
        </is>
      </c>
      <c r="B16" s="89" t="inlineStr">
        <is>
          <t>2026-03-23</t>
        </is>
      </c>
      <c r="C16" s="89" t="inlineStr">
        <is>
          <t>14:09</t>
        </is>
      </c>
      <c r="D16" s="89" t="inlineStr">
        <is>
          <t>well</t>
        </is>
      </c>
      <c r="E16" s="90" t="n">
        <v>-17.4008559</v>
      </c>
      <c r="F16" s="90" t="n">
        <v>178.1403109</v>
      </c>
      <c r="G16" s="91" t="n">
        <v>6.53</v>
      </c>
      <c r="H16" s="91" t="n">
        <v>705</v>
      </c>
      <c r="I16" s="91" t="n">
        <v>143.9</v>
      </c>
      <c r="J16" s="91" t="n">
        <v>2.38</v>
      </c>
      <c r="K16" s="91" t="n">
        <v>2.99</v>
      </c>
      <c r="L16" s="91" t="n">
        <v>25</v>
      </c>
      <c r="M16" s="91" t="n">
        <v>29.5</v>
      </c>
      <c r="N16" s="91" t="n"/>
      <c r="O16" s="91" t="n">
        <v>0.4</v>
      </c>
      <c r="P16" s="89" t="inlineStr">
        <is>
          <t>Sketch suggests DTW~4.70 m and depth~6.70 m?</t>
        </is>
      </c>
      <c r="Q16" s="89" t="inlineStr">
        <is>
          <t>Need confirmation</t>
        </is>
      </c>
    </row>
    <row r="17">
      <c r="A17" s="89" t="inlineStr">
        <is>
          <t>FG9</t>
        </is>
      </c>
      <c r="B17" s="89" t="inlineStr">
        <is>
          <t>2026-03-25</t>
        </is>
      </c>
      <c r="C17" s="89" t="inlineStr">
        <is>
          <t>10:56</t>
        </is>
      </c>
      <c r="D17" s="89" t="inlineStr">
        <is>
          <t>well?</t>
        </is>
      </c>
      <c r="E17" s="90" t="n">
        <v>-17.6471244</v>
      </c>
      <c r="F17" s="90" t="n">
        <v>178.7597226</v>
      </c>
      <c r="G17" s="91" t="n">
        <v>6.21</v>
      </c>
      <c r="H17" s="91" t="n">
        <v>193.4</v>
      </c>
      <c r="I17" s="91" t="n">
        <v>260.2</v>
      </c>
      <c r="J17" s="91" t="n">
        <v>4.68</v>
      </c>
      <c r="K17" s="91" t="n">
        <v>7.51</v>
      </c>
      <c r="L17" s="91" t="n">
        <v>25</v>
      </c>
      <c r="M17" s="91" t="n">
        <v>31.7</v>
      </c>
      <c r="N17" s="91" t="n"/>
      <c r="O17" s="91" t="n"/>
      <c r="P17" s="89" t="n"/>
      <c r="Q17" s="89" t="inlineStr">
        <is>
          <t>No water-level values visible</t>
        </is>
      </c>
    </row>
    <row r="18">
      <c r="A18" s="89" t="inlineStr">
        <is>
          <t>FG10</t>
        </is>
      </c>
      <c r="B18" s="89" t="inlineStr">
        <is>
          <t>2026-03-25</t>
        </is>
      </c>
      <c r="C18" s="89" t="inlineStr">
        <is>
          <t>11:22</t>
        </is>
      </c>
      <c r="D18" s="89" t="inlineStr">
        <is>
          <t>well?</t>
        </is>
      </c>
      <c r="E18" s="90" t="n"/>
      <c r="F18" s="90" t="n"/>
      <c r="G18" s="91" t="n">
        <v>7.22</v>
      </c>
      <c r="H18" s="91" t="n">
        <v>132.8</v>
      </c>
      <c r="I18" s="91" t="n">
        <v>103.9</v>
      </c>
      <c r="J18" s="91" t="n">
        <v>10.24</v>
      </c>
      <c r="K18" s="91" t="n">
        <v>0.24</v>
      </c>
      <c r="L18" s="91" t="n">
        <v>25</v>
      </c>
      <c r="M18" s="91" t="n">
        <v>23.9</v>
      </c>
      <c r="N18" s="91" t="n"/>
      <c r="O18" s="91" t="n"/>
      <c r="P18" s="89" t="n"/>
      <c r="Q18" s="89" t="inlineStr">
        <is>
          <t>GNSS not linked yet; DO value should be checked</t>
        </is>
      </c>
    </row>
  </sheetData>
  <mergeCells count="1">
    <mergeCell ref="A1:Q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style="39" min="1" max="1"/>
    <col width="28" customWidth="1" style="39" min="2" max="2"/>
    <col width="35" customWidth="1" style="39" min="3" max="3"/>
    <col width="34" customWidth="1" style="39" min="4" max="4"/>
    <col width="10" customWidth="1" style="39" min="5" max="5"/>
  </cols>
  <sheetData>
    <row r="1">
      <c r="A1" s="92" t="inlineStr">
        <is>
          <t>Uncertain groundwater fields to confirm</t>
        </is>
      </c>
    </row>
    <row r="3">
      <c r="A3" s="88" t="inlineStr">
        <is>
          <t>Site</t>
        </is>
      </c>
      <c r="B3" s="88" t="inlineStr">
        <is>
          <t>Field needing confirmation</t>
        </is>
      </c>
      <c r="C3" s="88" t="inlineStr">
        <is>
          <t>Observed sketch/text</t>
        </is>
      </c>
      <c r="D3" s="88" t="inlineStr">
        <is>
          <t>Current workbook treatment</t>
        </is>
      </c>
      <c r="E3" s="88" t="inlineStr">
        <is>
          <t>Priority</t>
        </is>
      </c>
    </row>
    <row r="4">
      <c r="A4" s="89" t="inlineStr">
        <is>
          <t>FG1? (09:45 sheet)</t>
        </is>
      </c>
      <c r="B4" s="89" t="inlineStr">
        <is>
          <t>Whether this is truly FG1</t>
        </is>
      </c>
      <c r="C4" s="89" t="inlineStr">
        <is>
          <t>Label looks like FG1 but EC is 6.17 mS/cm, unlike later FG1 well sheet</t>
        </is>
      </c>
      <c r="D4" s="89" t="inlineStr">
        <is>
          <t>Kept in Chemistry_Notes with caution</t>
        </is>
      </c>
      <c r="E4" s="89" t="inlineStr">
        <is>
          <t>High</t>
        </is>
      </c>
    </row>
    <row r="5">
      <c r="A5" s="89" t="inlineStr">
        <is>
          <t>FG2</t>
        </is>
      </c>
      <c r="B5" s="89" t="inlineStr">
        <is>
          <t>Depth to water and total depth</t>
        </is>
      </c>
      <c r="C5" s="89" t="inlineStr">
        <is>
          <t>Wellhead 0.45 m; sketch shows 2.230 m and 3.4 m</t>
        </is>
      </c>
      <c r="D5" s="89" t="inlineStr">
        <is>
          <t>DTW left blank; kept as potential head point</t>
        </is>
      </c>
      <c r="E5" s="89" t="inlineStr">
        <is>
          <t>High</t>
        </is>
      </c>
    </row>
    <row r="6">
      <c r="A6" s="89" t="inlineStr">
        <is>
          <t>FG4</t>
        </is>
      </c>
      <c r="B6" s="89" t="inlineStr">
        <is>
          <t>Depth to water</t>
        </is>
      </c>
      <c r="C6" s="89" t="inlineStr">
        <is>
          <t>Wellhead 0.55 m; sketch shows 2.910 m</t>
        </is>
      </c>
      <c r="D6" s="89" t="inlineStr">
        <is>
          <t>DTW left blank; kept as potential head point</t>
        </is>
      </c>
      <c r="E6" s="89" t="inlineStr">
        <is>
          <t>High</t>
        </is>
      </c>
    </row>
    <row r="7">
      <c r="A7" s="89" t="inlineStr">
        <is>
          <t>FG7</t>
        </is>
      </c>
      <c r="B7" s="89" t="inlineStr">
        <is>
          <t>Depth to water and total depth</t>
        </is>
      </c>
      <c r="C7" s="89" t="inlineStr">
        <is>
          <t>Wellhead 0.42 m; sketch shows 5.1 m and ~7.75 m</t>
        </is>
      </c>
      <c r="D7" s="89" t="inlineStr">
        <is>
          <t>DTW left blank; kept as potential head point</t>
        </is>
      </c>
      <c r="E7" s="89" t="inlineStr">
        <is>
          <t>High</t>
        </is>
      </c>
    </row>
    <row r="8">
      <c r="A8" s="89" t="inlineStr">
        <is>
          <t>FG8</t>
        </is>
      </c>
      <c r="B8" s="89" t="inlineStr">
        <is>
          <t>Depth to water and total depth</t>
        </is>
      </c>
      <c r="C8" s="89" t="inlineStr">
        <is>
          <t>Wellhead 0.40 m; sketch suggests ~4.70 m and ~6.70 m</t>
        </is>
      </c>
      <c r="D8" s="89" t="inlineStr">
        <is>
          <t>DTW left blank; kept as potential head point</t>
        </is>
      </c>
      <c r="E8" s="89" t="inlineStr">
        <is>
          <t>High</t>
        </is>
      </c>
    </row>
    <row r="9">
      <c r="A9" s="89" t="inlineStr">
        <is>
          <t>FG9</t>
        </is>
      </c>
      <c r="B9" s="89" t="inlineStr">
        <is>
          <t>Water level information</t>
        </is>
      </c>
      <c r="C9" s="89" t="inlineStr">
        <is>
          <t>No water level visible on sheet</t>
        </is>
      </c>
      <c r="D9" s="89" t="inlineStr">
        <is>
          <t>Chemistry only</t>
        </is>
      </c>
      <c r="E9" s="89" t="inlineStr">
        <is>
          <t>Medium</t>
        </is>
      </c>
    </row>
    <row r="10">
      <c r="A10" s="89" t="inlineStr">
        <is>
          <t>FG10</t>
        </is>
      </c>
      <c r="B10" s="89" t="inlineStr">
        <is>
          <t>GNSS link and DO value</t>
        </is>
      </c>
      <c r="C10" s="89" t="inlineStr">
        <is>
          <t>No GNSS screenshot linked; DO written as 10.24/0.24</t>
        </is>
      </c>
      <c r="D10" s="89" t="inlineStr">
        <is>
          <t>Chemistry only</t>
        </is>
      </c>
      <c r="E10" s="89" t="inlineStr">
        <is>
          <t>Medium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2026-03-20T13:26:18Z</dcterms:created>
  <dcterms:modified xmlns:dcterms="http://purl.org/dc/terms/" xmlns:xsi="http://www.w3.org/2001/XMLSchema-instance" xsi:type="dcterms:W3CDTF">2026-03-30T12:04:35Z</dcterms:modified>
  <cp:revision>0</cp:revision>
</cp:coreProperties>
</file>