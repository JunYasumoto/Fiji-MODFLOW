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asum\.gemini\antigravity\scratch\Fiji\"/>
    </mc:Choice>
  </mc:AlternateContent>
  <xr:revisionPtr revIDLastSave="0" documentId="8_{B8D7E9D9-DCE3-49DC-87DF-4AC9682D2DCA}" xr6:coauthVersionLast="47" xr6:coauthVersionMax="47" xr10:uidLastSave="{00000000-0000-0000-0000-000000000000}"/>
  <bookViews>
    <workbookView xWindow="38290" yWindow="-110" windowWidth="38620" windowHeight="21220" tabRatio="638" xr2:uid="{00000000-000D-0000-FFFF-FFFF00000000}"/>
  </bookViews>
  <sheets>
    <sheet name="2025" sheetId="4" r:id="rId1"/>
  </sheets>
  <definedNames>
    <definedName name="_xlnm._FilterDatabase" localSheetId="0" hidden="1">'2025'!$A$1:$AD$8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4" l="1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Q3" i="4"/>
  <c r="AE3" i="4" s="1"/>
  <c r="Q4" i="4"/>
  <c r="AE4" i="4" s="1"/>
  <c r="AG4" i="4" s="1"/>
  <c r="Q5" i="4"/>
  <c r="AE5" i="4" s="1"/>
  <c r="Q6" i="4"/>
  <c r="AE6" i="4" s="1"/>
  <c r="Q7" i="4"/>
  <c r="AE7" i="4" s="1"/>
  <c r="Q8" i="4"/>
  <c r="AE8" i="4" s="1"/>
  <c r="Q9" i="4"/>
  <c r="AE9" i="4" s="1"/>
  <c r="Q10" i="4"/>
  <c r="AE10" i="4" s="1"/>
  <c r="AG10" i="4" s="1"/>
  <c r="Q11" i="4"/>
  <c r="AE11" i="4" s="1"/>
  <c r="AG11" i="4" s="1"/>
  <c r="Q12" i="4"/>
  <c r="AE12" i="4" s="1"/>
  <c r="Q13" i="4"/>
  <c r="AE13" i="4" s="1"/>
  <c r="Q14" i="4"/>
  <c r="AE14" i="4" s="1"/>
  <c r="Q15" i="4"/>
  <c r="AE15" i="4" s="1"/>
  <c r="AG15" i="4" s="1"/>
  <c r="Q16" i="4"/>
  <c r="AE16" i="4" s="1"/>
  <c r="AG9" i="4" l="1"/>
  <c r="AG14" i="4"/>
  <c r="AG13" i="4"/>
  <c r="AG5" i="4"/>
  <c r="AG8" i="4"/>
  <c r="AG16" i="4"/>
  <c r="AG7" i="4"/>
  <c r="AG6" i="4"/>
  <c r="AG12" i="4"/>
  <c r="AG3" i="4"/>
</calcChain>
</file>

<file path=xl/sharedStrings.xml><?xml version="1.0" encoding="utf-8"?>
<sst xmlns="http://schemas.openxmlformats.org/spreadsheetml/2006/main" count="105" uniqueCount="84">
  <si>
    <t>pH</t>
    <phoneticPr fontId="2"/>
  </si>
  <si>
    <t>EC</t>
    <phoneticPr fontId="2"/>
  </si>
  <si>
    <t>ORP</t>
    <phoneticPr fontId="2"/>
  </si>
  <si>
    <t>DO</t>
    <phoneticPr fontId="1"/>
  </si>
  <si>
    <t>HCO3-</t>
    <phoneticPr fontId="2"/>
  </si>
  <si>
    <t>SS</t>
    <phoneticPr fontId="2"/>
  </si>
  <si>
    <t>DOC</t>
    <phoneticPr fontId="2"/>
  </si>
  <si>
    <t>T-P</t>
    <phoneticPr fontId="2"/>
  </si>
  <si>
    <t>PO4-P (MB)</t>
    <phoneticPr fontId="2"/>
  </si>
  <si>
    <t>ΣA</t>
    <phoneticPr fontId="1"/>
  </si>
  <si>
    <t>ΣC</t>
    <phoneticPr fontId="1"/>
  </si>
  <si>
    <t>R</t>
    <phoneticPr fontId="1"/>
  </si>
  <si>
    <t>m</t>
    <phoneticPr fontId="2"/>
  </si>
  <si>
    <t>m</t>
    <phoneticPr fontId="1"/>
  </si>
  <si>
    <t>mS/cm</t>
    <phoneticPr fontId="2"/>
  </si>
  <si>
    <t>mV</t>
    <phoneticPr fontId="2"/>
  </si>
  <si>
    <t>mg/L</t>
    <phoneticPr fontId="1"/>
  </si>
  <si>
    <t>mg/L</t>
    <phoneticPr fontId="2"/>
  </si>
  <si>
    <t>(mg/L)</t>
    <phoneticPr fontId="1"/>
  </si>
  <si>
    <t>mg-P/L</t>
    <phoneticPr fontId="2"/>
  </si>
  <si>
    <t>μg-P/L</t>
    <phoneticPr fontId="2"/>
  </si>
  <si>
    <t>meq/L</t>
    <phoneticPr fontId="2"/>
  </si>
  <si>
    <t>meq/L</t>
  </si>
  <si>
    <t>Date</t>
    <phoneticPr fontId="1"/>
  </si>
  <si>
    <t>Sampling Point</t>
    <phoneticPr fontId="2"/>
  </si>
  <si>
    <t>Time</t>
    <phoneticPr fontId="2"/>
  </si>
  <si>
    <t>(GL-Water Surface+Hight of the Well)</t>
    <phoneticPr fontId="1"/>
  </si>
  <si>
    <t>Water Surface</t>
    <phoneticPr fontId="2"/>
  </si>
  <si>
    <t>Hight of the Well</t>
    <phoneticPr fontId="1"/>
  </si>
  <si>
    <t>Temperature</t>
    <phoneticPr fontId="2"/>
  </si>
  <si>
    <t>Alkalinity</t>
    <phoneticPr fontId="2"/>
  </si>
  <si>
    <t>Times(HACH)</t>
    <phoneticPr fontId="2"/>
  </si>
  <si>
    <t>DP</t>
    <phoneticPr fontId="2"/>
  </si>
  <si>
    <t>DP (ICP)</t>
    <phoneticPr fontId="2"/>
  </si>
  <si>
    <t>Type</t>
    <phoneticPr fontId="2"/>
  </si>
  <si>
    <t>GW</t>
    <phoneticPr fontId="1"/>
  </si>
  <si>
    <t>‰</t>
  </si>
  <si>
    <r>
      <t>Cl</t>
    </r>
    <r>
      <rPr>
        <b/>
        <vertAlign val="superscript"/>
        <sz val="11"/>
        <color theme="1"/>
        <rFont val="Times New Roman"/>
        <family val="1"/>
      </rPr>
      <t>-</t>
    </r>
    <phoneticPr fontId="2"/>
  </si>
  <si>
    <r>
      <rPr>
        <b/>
        <sz val="11"/>
        <color theme="1"/>
        <rFont val="Times New Roman"/>
        <family val="1"/>
      </rPr>
      <t>NO</t>
    </r>
    <r>
      <rPr>
        <b/>
        <vertAlign val="subscript"/>
        <sz val="11"/>
        <color theme="1"/>
        <rFont val="Times New Roman"/>
        <family val="1"/>
      </rPr>
      <t>3</t>
    </r>
    <r>
      <rPr>
        <b/>
        <vertAlign val="superscript"/>
        <sz val="11"/>
        <color theme="1"/>
        <rFont val="Times New Roman"/>
        <family val="1"/>
      </rPr>
      <t>-</t>
    </r>
    <phoneticPr fontId="1"/>
  </si>
  <si>
    <r>
      <t>SO</t>
    </r>
    <r>
      <rPr>
        <b/>
        <vertAlign val="subscript"/>
        <sz val="11"/>
        <color theme="1"/>
        <rFont val="Times New Roman"/>
        <family val="1"/>
      </rPr>
      <t>4</t>
    </r>
    <r>
      <rPr>
        <b/>
        <vertAlign val="superscript"/>
        <sz val="11"/>
        <color theme="1"/>
        <rFont val="Times New Roman"/>
        <family val="1"/>
      </rPr>
      <t>2-</t>
    </r>
    <phoneticPr fontId="1"/>
  </si>
  <si>
    <r>
      <t>Na</t>
    </r>
    <r>
      <rPr>
        <b/>
        <vertAlign val="superscript"/>
        <sz val="11"/>
        <color theme="1"/>
        <rFont val="Times New Roman"/>
        <family val="1"/>
      </rPr>
      <t>+</t>
    </r>
    <phoneticPr fontId="1"/>
  </si>
  <si>
    <r>
      <t>K</t>
    </r>
    <r>
      <rPr>
        <b/>
        <vertAlign val="superscript"/>
        <sz val="11"/>
        <color theme="1"/>
        <rFont val="Times New Roman"/>
        <family val="1"/>
      </rPr>
      <t>+</t>
    </r>
    <phoneticPr fontId="1"/>
  </si>
  <si>
    <r>
      <t>Mg</t>
    </r>
    <r>
      <rPr>
        <b/>
        <vertAlign val="superscript"/>
        <sz val="11"/>
        <color theme="1"/>
        <rFont val="Times New Roman"/>
        <family val="1"/>
      </rPr>
      <t>2+</t>
    </r>
    <phoneticPr fontId="1"/>
  </si>
  <si>
    <r>
      <t>Ca</t>
    </r>
    <r>
      <rPr>
        <b/>
        <vertAlign val="superscript"/>
        <sz val="11"/>
        <color theme="1"/>
        <rFont val="Times New Roman"/>
        <family val="1"/>
      </rPr>
      <t>2+</t>
    </r>
    <phoneticPr fontId="1"/>
  </si>
  <si>
    <r>
      <rPr>
        <b/>
        <sz val="11"/>
        <color theme="1"/>
        <rFont val="游ゴシック"/>
        <family val="2"/>
        <charset val="128"/>
      </rPr>
      <t>℃</t>
    </r>
    <phoneticPr fontId="2"/>
  </si>
  <si>
    <r>
      <rPr>
        <b/>
        <sz val="11"/>
        <color theme="1"/>
        <rFont val="游ゴシック"/>
        <family val="2"/>
        <charset val="128"/>
      </rPr>
      <t>備考</t>
    </r>
    <rPh sb="0" eb="2">
      <t>ビコウ</t>
    </rPh>
    <phoneticPr fontId="1"/>
  </si>
  <si>
    <r>
      <t>δ</t>
    </r>
    <r>
      <rPr>
        <b/>
        <vertAlign val="superscript"/>
        <sz val="11"/>
        <color theme="1"/>
        <rFont val="Times New Roman"/>
        <family val="1"/>
      </rPr>
      <t>18</t>
    </r>
    <r>
      <rPr>
        <b/>
        <sz val="11"/>
        <color theme="1"/>
        <rFont val="Times New Roman"/>
        <family val="1"/>
      </rPr>
      <t>O</t>
    </r>
    <phoneticPr fontId="1"/>
  </si>
  <si>
    <r>
      <t>δ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H</t>
    </r>
    <phoneticPr fontId="1"/>
  </si>
  <si>
    <t>Latitude</t>
    <phoneticPr fontId="1"/>
  </si>
  <si>
    <t>Longitude</t>
    <phoneticPr fontId="1"/>
  </si>
  <si>
    <t>Ellipsoid height</t>
    <phoneticPr fontId="1"/>
  </si>
  <si>
    <t>Geoid height</t>
    <phoneticPr fontId="1"/>
  </si>
  <si>
    <t>Elevation</t>
    <phoneticPr fontId="1"/>
  </si>
  <si>
    <t>VRMS</t>
    <phoneticPr fontId="1"/>
  </si>
  <si>
    <t>Groundwater Level (m)</t>
    <phoneticPr fontId="1"/>
  </si>
  <si>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He</t>
    </r>
    <phoneticPr fontId="1"/>
  </si>
  <si>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H</t>
    </r>
    <phoneticPr fontId="1"/>
  </si>
  <si>
    <r>
      <t>SF</t>
    </r>
    <r>
      <rPr>
        <b/>
        <vertAlign val="subscript"/>
        <sz val="11"/>
        <color theme="1"/>
        <rFont val="Times New Roman"/>
        <family val="1"/>
      </rPr>
      <t>6</t>
    </r>
    <phoneticPr fontId="1"/>
  </si>
  <si>
    <t>FR1</t>
  </si>
  <si>
    <t>FR2</t>
  </si>
  <si>
    <t>FR3</t>
  </si>
  <si>
    <t>FR4</t>
  </si>
  <si>
    <t>FG1</t>
  </si>
  <si>
    <t>FR5</t>
  </si>
  <si>
    <t>FG2</t>
  </si>
  <si>
    <t>FG3</t>
  </si>
  <si>
    <t xml:space="preserve">FG4 </t>
  </si>
  <si>
    <t xml:space="preserve">FG5 </t>
  </si>
  <si>
    <t>FG6</t>
  </si>
  <si>
    <t>FG7</t>
  </si>
  <si>
    <t>FG8</t>
  </si>
  <si>
    <t xml:space="preserve"> </t>
  </si>
  <si>
    <t>FG9</t>
  </si>
  <si>
    <t xml:space="preserve">UNDER </t>
  </si>
  <si>
    <t>7.26（仮）</t>
  </si>
  <si>
    <t>−8.9</t>
  </si>
  <si>
    <t>Al</t>
  </si>
  <si>
    <t>Mn</t>
  </si>
  <si>
    <t>Fe</t>
  </si>
  <si>
    <t>Cu</t>
  </si>
  <si>
    <t>Zn</t>
  </si>
  <si>
    <t>As</t>
  </si>
  <si>
    <t>Sr</t>
  </si>
  <si>
    <t>&lt;1.56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</si>
</sst>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¥&quot;#,##0;[Red]\-&quot;¥&quot;#,##0"/>
    <numFmt numFmtId="176" formatCode="h:mm;@"/>
    <numFmt numFmtId="177" formatCode="0.000_);[Red]\(0.000\)"/>
    <numFmt numFmtId="178" formatCode="0.00_);[Red]\(0.00\)"/>
    <numFmt numFmtId="179" formatCode="0.0_);[Red]\(0.0\)"/>
    <numFmt numFmtId="180" formatCode="0_);[Red]\(0\)"/>
    <numFmt numFmtId="181" formatCode="0.0"/>
    <numFmt numFmtId="182" formatCode="0.000"/>
    <numFmt numFmtId="183" formatCode="0.0000"/>
    <numFmt numFmtId="184" formatCode="0.0000000"/>
    <numFmt numFmtId="185" formatCode="0.0_ ;[Red]\-0.0\ "/>
    <numFmt numFmtId="186" formatCode="0.000000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1"/>
      <name val="游ゴシック"/>
      <family val="2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6" fontId="4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2" fontId="11" fillId="0" borderId="0" xfId="0" applyNumberFormat="1" applyFont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185" fontId="10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2" fontId="10" fillId="0" borderId="0" xfId="0" applyNumberFormat="1" applyFont="1" applyAlignment="1">
      <alignment horizontal="center" vertical="center"/>
    </xf>
    <xf numFmtId="184" fontId="10" fillId="0" borderId="0" xfId="0" applyNumberFormat="1" applyFont="1" applyAlignment="1"/>
    <xf numFmtId="2" fontId="10" fillId="0" borderId="0" xfId="0" applyNumberFormat="1" applyFont="1">
      <alignment vertical="center"/>
    </xf>
    <xf numFmtId="20" fontId="10" fillId="0" borderId="0" xfId="0" applyNumberFormat="1" applyFont="1" applyAlignment="1">
      <alignment horizontal="center" vertical="center"/>
    </xf>
    <xf numFmtId="182" fontId="10" fillId="0" borderId="0" xfId="0" applyNumberFormat="1" applyFont="1" applyAlignment="1">
      <alignment horizontal="center" vertical="center"/>
    </xf>
    <xf numFmtId="181" fontId="10" fillId="0" borderId="0" xfId="0" applyNumberFormat="1" applyFont="1" applyAlignment="1">
      <alignment horizontal="center" vertical="center"/>
    </xf>
    <xf numFmtId="183" fontId="10" fillId="0" borderId="0" xfId="0" applyNumberFormat="1" applyFont="1" applyAlignment="1">
      <alignment horizontal="center" vertical="center"/>
    </xf>
    <xf numFmtId="181" fontId="11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81" fontId="10" fillId="0" borderId="0" xfId="3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/>
    <xf numFmtId="186" fontId="0" fillId="0" borderId="0" xfId="0" applyNumberFormat="1">
      <alignment vertical="center"/>
    </xf>
    <xf numFmtId="2" fontId="10" fillId="0" borderId="0" xfId="0" applyNumberFormat="1" applyFont="1" applyAlignment="1"/>
    <xf numFmtId="0" fontId="10" fillId="0" borderId="4" xfId="0" applyFont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</cellXfs>
  <cellStyles count="4">
    <cellStyle name="桁区切り 2" xfId="2" xr:uid="{00000000-0005-0000-0000-000001000000}"/>
    <cellStyle name="通貨" xfId="3" builtinId="7"/>
    <cellStyle name="標準" xfId="0" builtinId="0"/>
    <cellStyle name="標準 2" xfId="1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75"/>
  <sheetViews>
    <sheetView tabSelected="1" zoomScale="130" zoomScaleNormal="130" workbookViewId="0">
      <pane xSplit="2" ySplit="2" topLeftCell="Z3" activePane="bottomRight" state="frozen"/>
      <selection pane="topRight" activeCell="C1" sqref="C1"/>
      <selection pane="bottomLeft" activeCell="A3" sqref="A3"/>
      <selection pane="bottomRight" activeCell="BA11" sqref="BA11"/>
    </sheetView>
  </sheetViews>
  <sheetFormatPr defaultColWidth="8.58203125" defaultRowHeight="14" x14ac:dyDescent="0.55000000000000004"/>
  <cols>
    <col min="1" max="1" width="9.4140625" style="22" bestFit="1" customWidth="1"/>
    <col min="2" max="2" width="14" style="22" bestFit="1" customWidth="1"/>
    <col min="3" max="3" width="5.58203125" style="22" bestFit="1" customWidth="1"/>
    <col min="4" max="4" width="5.83203125" style="22" bestFit="1" customWidth="1"/>
    <col min="5" max="5" width="35.08203125" style="22" bestFit="1" customWidth="1"/>
    <col min="6" max="6" width="13.4140625" style="22" bestFit="1" customWidth="1"/>
    <col min="7" max="7" width="16.1640625" style="22" bestFit="1" customWidth="1"/>
    <col min="8" max="8" width="5.33203125" style="22" bestFit="1" customWidth="1"/>
    <col min="9" max="9" width="12.5" style="22" bestFit="1" customWidth="1"/>
    <col min="10" max="10" width="6.9140625" style="22" bestFit="1" customWidth="1"/>
    <col min="11" max="11" width="12.5" style="22" bestFit="1" customWidth="1"/>
    <col min="12" max="12" width="7" style="22" bestFit="1" customWidth="1"/>
    <col min="13" max="13" width="12.5" style="22" bestFit="1" customWidth="1"/>
    <col min="14" max="14" width="5.83203125" style="22" bestFit="1" customWidth="1"/>
    <col min="15" max="15" width="12.5" style="22" bestFit="1" customWidth="1"/>
    <col min="16" max="16" width="14" style="22" bestFit="1" customWidth="1"/>
    <col min="17" max="17" width="7.5" style="22" bestFit="1" customWidth="1"/>
    <col min="18" max="18" width="7" style="22" bestFit="1" customWidth="1"/>
    <col min="19" max="19" width="5.83203125" style="22" bestFit="1" customWidth="1"/>
    <col min="20" max="21" width="7.5" style="22" bestFit="1" customWidth="1"/>
    <col min="22" max="22" width="8.9140625" style="22" bestFit="1" customWidth="1"/>
    <col min="23" max="23" width="12.08203125" style="22" bestFit="1" customWidth="1"/>
    <col min="24" max="24" width="8.08203125" style="22" bestFit="1" customWidth="1"/>
    <col min="25" max="25" width="6.4140625" style="22" bestFit="1" customWidth="1"/>
    <col min="26" max="27" width="7.1640625" style="22" bestFit="1" customWidth="1"/>
    <col min="28" max="28" width="5.83203125" style="22" bestFit="1" customWidth="1"/>
    <col min="29" max="30" width="6.4140625" style="22" bestFit="1" customWidth="1"/>
    <col min="31" max="32" width="6.6640625" style="22" bestFit="1" customWidth="1"/>
    <col min="33" max="33" width="5.83203125" style="22" bestFit="1" customWidth="1"/>
    <col min="34" max="34" width="9.83203125" style="22" customWidth="1"/>
    <col min="35" max="35" width="10.1640625" style="22" customWidth="1"/>
    <col min="36" max="36" width="13.83203125" style="22" customWidth="1"/>
    <col min="37" max="37" width="14.83203125" style="22" customWidth="1"/>
    <col min="38" max="38" width="14.6640625" style="22" bestFit="1" customWidth="1"/>
    <col min="39" max="39" width="10.9140625" style="22" bestFit="1" customWidth="1"/>
    <col min="40" max="40" width="9.1640625" style="22" bestFit="1" customWidth="1"/>
    <col min="41" max="41" width="7" style="22" bestFit="1" customWidth="1"/>
    <col min="42" max="43" width="7" style="22" customWidth="1"/>
    <col min="44" max="44" width="8.6640625" style="22" customWidth="1"/>
    <col min="45" max="49" width="8.58203125" style="22"/>
    <col min="50" max="50" width="10.5" style="22" customWidth="1"/>
    <col min="51" max="51" width="7.6640625" style="22" bestFit="1" customWidth="1"/>
    <col min="52" max="52" width="12.08203125" style="22" bestFit="1" customWidth="1"/>
    <col min="53" max="53" width="7.83203125" style="22" bestFit="1" customWidth="1"/>
    <col min="54" max="54" width="5.33203125" style="22" bestFit="1" customWidth="1"/>
    <col min="55" max="16384" width="8.58203125" style="22"/>
  </cols>
  <sheetData>
    <row r="1" spans="1:54" s="1" customFormat="1" ht="16.5" x14ac:dyDescent="0.55000000000000004">
      <c r="A1" s="52" t="s">
        <v>23</v>
      </c>
      <c r="B1" s="52" t="s">
        <v>24</v>
      </c>
      <c r="C1" s="52" t="s">
        <v>34</v>
      </c>
      <c r="D1" s="54" t="s">
        <v>25</v>
      </c>
      <c r="E1" s="2" t="s">
        <v>54</v>
      </c>
      <c r="F1" s="3" t="s">
        <v>27</v>
      </c>
      <c r="G1" s="3" t="s">
        <v>28</v>
      </c>
      <c r="H1" s="50" t="s">
        <v>0</v>
      </c>
      <c r="I1" s="4" t="s">
        <v>29</v>
      </c>
      <c r="J1" s="3" t="s">
        <v>1</v>
      </c>
      <c r="K1" s="4" t="s">
        <v>29</v>
      </c>
      <c r="L1" s="5" t="s">
        <v>2</v>
      </c>
      <c r="M1" s="4" t="s">
        <v>29</v>
      </c>
      <c r="N1" s="4" t="s">
        <v>3</v>
      </c>
      <c r="O1" s="4" t="s">
        <v>29</v>
      </c>
      <c r="P1" s="1" t="s">
        <v>30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32</v>
      </c>
      <c r="V1" s="1" t="s">
        <v>33</v>
      </c>
      <c r="W1" s="6" t="s">
        <v>8</v>
      </c>
      <c r="X1" s="1" t="s">
        <v>37</v>
      </c>
      <c r="Y1" s="7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9</v>
      </c>
      <c r="AF1" s="1" t="s">
        <v>10</v>
      </c>
      <c r="AG1" s="1" t="s">
        <v>11</v>
      </c>
      <c r="AH1" s="1" t="s">
        <v>46</v>
      </c>
      <c r="AI1" s="1" t="s">
        <v>47</v>
      </c>
      <c r="AJ1" s="43" t="s">
        <v>48</v>
      </c>
      <c r="AK1" s="43" t="s">
        <v>49</v>
      </c>
      <c r="AL1" s="43" t="s">
        <v>50</v>
      </c>
      <c r="AM1" s="1" t="s">
        <v>51</v>
      </c>
      <c r="AN1" s="1" t="s">
        <v>52</v>
      </c>
      <c r="AO1" s="1" t="s">
        <v>53</v>
      </c>
      <c r="AP1" s="1" t="s">
        <v>55</v>
      </c>
      <c r="AQ1" s="1" t="s">
        <v>56</v>
      </c>
      <c r="AR1" s="1" t="s">
        <v>57</v>
      </c>
      <c r="AS1" s="1" t="s">
        <v>76</v>
      </c>
      <c r="AT1" s="1" t="s">
        <v>77</v>
      </c>
      <c r="AU1" s="1" t="s">
        <v>78</v>
      </c>
      <c r="AV1" s="1" t="s">
        <v>79</v>
      </c>
      <c r="AW1" s="1" t="s">
        <v>80</v>
      </c>
      <c r="AX1" s="1" t="s">
        <v>81</v>
      </c>
      <c r="AY1" s="1" t="s">
        <v>82</v>
      </c>
      <c r="AZ1" s="52"/>
      <c r="BA1" s="52"/>
    </row>
    <row r="2" spans="1:54" s="12" customFormat="1" ht="18.5" thickBot="1" x14ac:dyDescent="0.6">
      <c r="A2" s="53"/>
      <c r="B2" s="53"/>
      <c r="C2" s="53"/>
      <c r="D2" s="55"/>
      <c r="E2" s="8" t="s">
        <v>26</v>
      </c>
      <c r="F2" s="9" t="s">
        <v>12</v>
      </c>
      <c r="G2" s="9" t="s">
        <v>13</v>
      </c>
      <c r="H2" s="51"/>
      <c r="I2" s="10" t="s">
        <v>44</v>
      </c>
      <c r="J2" s="9" t="s">
        <v>14</v>
      </c>
      <c r="K2" s="10" t="s">
        <v>44</v>
      </c>
      <c r="L2" s="11" t="s">
        <v>15</v>
      </c>
      <c r="M2" s="10" t="s">
        <v>44</v>
      </c>
      <c r="N2" s="10" t="s">
        <v>16</v>
      </c>
      <c r="O2" s="10" t="s">
        <v>44</v>
      </c>
      <c r="P2" s="12" t="s">
        <v>31</v>
      </c>
      <c r="Q2" s="12" t="s">
        <v>17</v>
      </c>
      <c r="R2" s="12" t="s">
        <v>18</v>
      </c>
      <c r="S2" s="12" t="s">
        <v>17</v>
      </c>
      <c r="T2" s="12" t="s">
        <v>19</v>
      </c>
      <c r="U2" s="12" t="s">
        <v>19</v>
      </c>
      <c r="V2" s="12" t="s">
        <v>20</v>
      </c>
      <c r="W2" s="13" t="s">
        <v>19</v>
      </c>
      <c r="X2" s="12" t="s">
        <v>17</v>
      </c>
      <c r="Y2" s="12" t="s">
        <v>17</v>
      </c>
      <c r="Z2" s="12" t="s">
        <v>17</v>
      </c>
      <c r="AA2" s="12" t="s">
        <v>17</v>
      </c>
      <c r="AB2" s="12" t="s">
        <v>17</v>
      </c>
      <c r="AC2" s="12" t="s">
        <v>17</v>
      </c>
      <c r="AD2" s="12" t="s">
        <v>17</v>
      </c>
      <c r="AE2" s="12" t="s">
        <v>21</v>
      </c>
      <c r="AF2" s="12" t="s">
        <v>22</v>
      </c>
      <c r="AH2" s="12" t="s">
        <v>36</v>
      </c>
      <c r="AI2" s="12" t="s">
        <v>36</v>
      </c>
      <c r="AL2" s="12" t="s">
        <v>13</v>
      </c>
      <c r="AM2" s="12" t="s">
        <v>13</v>
      </c>
      <c r="AN2" s="12" t="s">
        <v>13</v>
      </c>
      <c r="AO2" s="42" t="s">
        <v>13</v>
      </c>
      <c r="AP2" s="42"/>
      <c r="AQ2" s="42"/>
      <c r="AS2" s="1"/>
      <c r="AT2" s="1"/>
      <c r="AU2" s="1"/>
      <c r="AV2" s="1"/>
      <c r="AW2" s="1"/>
      <c r="AX2" s="1"/>
      <c r="AY2" s="1"/>
      <c r="AZ2" s="14"/>
      <c r="BA2" s="14"/>
      <c r="BB2" s="12" t="s">
        <v>45</v>
      </c>
    </row>
    <row r="3" spans="1:54" s="16" customFormat="1" ht="18.5" thickTop="1" x14ac:dyDescent="0.55000000000000004">
      <c r="A3" s="15">
        <v>45921</v>
      </c>
      <c r="B3" s="16" t="s">
        <v>58</v>
      </c>
      <c r="C3" s="17" t="s">
        <v>35</v>
      </c>
      <c r="D3" s="18">
        <v>0.66666666666666663</v>
      </c>
      <c r="E3" s="26"/>
      <c r="F3" s="19"/>
      <c r="G3" s="19"/>
      <c r="H3" s="20">
        <v>7.25</v>
      </c>
      <c r="I3" s="21">
        <v>28.6</v>
      </c>
      <c r="J3" s="19">
        <v>0.42299999999999999</v>
      </c>
      <c r="K3" s="21">
        <v>27.4</v>
      </c>
      <c r="L3" s="21">
        <v>102.4</v>
      </c>
      <c r="M3" s="21">
        <v>22.3</v>
      </c>
      <c r="N3" s="21">
        <v>8.14</v>
      </c>
      <c r="O3" s="21">
        <v>27.3</v>
      </c>
      <c r="P3" s="22">
        <v>55</v>
      </c>
      <c r="Q3" s="16">
        <f>ROUND((P3/800)*(1000/50)*1.6*61.02,1)</f>
        <v>134.19999999999999</v>
      </c>
      <c r="R3" s="23">
        <v>360.2</v>
      </c>
      <c r="S3" s="24"/>
      <c r="T3" s="44">
        <v>1.7999999999999999E-2</v>
      </c>
      <c r="U3" s="44">
        <v>1.2E-2</v>
      </c>
      <c r="V3" s="25"/>
      <c r="W3" s="44">
        <v>3.0000000000000001E-3</v>
      </c>
      <c r="X3" s="22">
        <v>13912.64</v>
      </c>
      <c r="Y3" s="22"/>
      <c r="Z3" s="22">
        <v>1817.88</v>
      </c>
      <c r="AA3" s="22">
        <v>8242.0499999999993</v>
      </c>
      <c r="AB3" s="22">
        <v>421.53</v>
      </c>
      <c r="AC3" s="22">
        <v>1093.76</v>
      </c>
      <c r="AD3" s="27">
        <v>274.86</v>
      </c>
      <c r="AE3" s="27">
        <f>(X3/35.5) + (Y3/62) + (Z3/48)+(Q3/61)</f>
        <v>431.97785211267603</v>
      </c>
      <c r="AF3" s="27">
        <f>(AA3/23)+(AB3/39.1)+(AC3/12.15)+(AD3/20.04)</f>
        <v>472.86778645355241</v>
      </c>
      <c r="AG3" s="28">
        <f>(AF3-AE3)/(AF3+AE3)*100</f>
        <v>4.5189955720700006</v>
      </c>
      <c r="AH3" s="46">
        <v>-5.9657349999999996</v>
      </c>
      <c r="AI3" s="46">
        <v>-41.460635000000003</v>
      </c>
      <c r="AJ3" s="47">
        <v>-17.364733000000001</v>
      </c>
      <c r="AK3" s="47">
        <v>178.14961700000001</v>
      </c>
      <c r="AL3" s="29">
        <v>8.14</v>
      </c>
      <c r="AM3" s="23"/>
      <c r="AN3" s="30"/>
      <c r="AO3" s="30"/>
      <c r="AP3" s="30"/>
      <c r="AQ3" s="30"/>
      <c r="AR3" s="30"/>
      <c r="AS3" s="22">
        <v>9.9183000000000003</v>
      </c>
      <c r="AT3" s="49">
        <v>134.47</v>
      </c>
      <c r="AU3" s="22">
        <v>4.8968299999999996</v>
      </c>
      <c r="AV3" s="22">
        <v>4.5622600000000002</v>
      </c>
      <c r="AW3" s="22">
        <v>22.875399999999999</v>
      </c>
      <c r="AX3" s="22" t="s">
        <v>83</v>
      </c>
      <c r="AY3" s="22">
        <v>5836.15</v>
      </c>
    </row>
    <row r="4" spans="1:54" s="16" customFormat="1" ht="18" x14ac:dyDescent="0.55000000000000004">
      <c r="A4" s="15">
        <v>45921</v>
      </c>
      <c r="B4" s="16" t="s">
        <v>59</v>
      </c>
      <c r="D4" s="18">
        <v>0.69166666666666665</v>
      </c>
      <c r="E4" s="26"/>
      <c r="F4" s="19"/>
      <c r="H4" s="20">
        <v>8.92</v>
      </c>
      <c r="I4" s="21">
        <v>28.4</v>
      </c>
      <c r="J4" s="19">
        <v>0.33400000000000002</v>
      </c>
      <c r="K4" s="21">
        <v>27.5</v>
      </c>
      <c r="L4" s="21">
        <v>190.3</v>
      </c>
      <c r="M4" s="21" t="s">
        <v>75</v>
      </c>
      <c r="N4" s="20">
        <v>9.1999999999999993</v>
      </c>
      <c r="O4" s="21">
        <v>27.3</v>
      </c>
      <c r="P4" s="22">
        <v>68</v>
      </c>
      <c r="Q4" s="16">
        <f t="shared" ref="Q4:Q16" si="0">ROUND((P4/800)*(1000/50)*1.6*61.02,1)</f>
        <v>166</v>
      </c>
      <c r="R4" s="23">
        <v>1.4</v>
      </c>
      <c r="S4" s="24"/>
      <c r="T4" s="44">
        <v>2.1999999999999999E-2</v>
      </c>
      <c r="U4" s="44">
        <v>1.4999999999999999E-2</v>
      </c>
      <c r="V4" s="25"/>
      <c r="W4" s="44">
        <v>1.4E-2</v>
      </c>
      <c r="X4" s="22">
        <v>6.99</v>
      </c>
      <c r="Y4" s="22"/>
      <c r="Z4" s="22">
        <v>3.6</v>
      </c>
      <c r="AA4" s="22">
        <v>14.15</v>
      </c>
      <c r="AB4" s="22">
        <v>1.22</v>
      </c>
      <c r="AC4" s="22">
        <v>13.54</v>
      </c>
      <c r="AD4" s="27">
        <v>27.13</v>
      </c>
      <c r="AE4" s="27">
        <f t="shared" ref="AE4:AE16" si="1">(X4/35.5) + (Y4/62) + (Z4/48)+(Q4/61)</f>
        <v>2.9932128838605401</v>
      </c>
      <c r="AF4" s="27">
        <f t="shared" ref="AF4:AF16" si="2">(AA4/23)+(AB4/39.1)+(AC4/12.15)+(AD4/20.04)</f>
        <v>3.1146151446908839</v>
      </c>
      <c r="AG4" s="28">
        <f t="shared" ref="AG4:AG16" si="3">(AF4-AE4)/(AF4+AE4)*100</f>
        <v>1.9876502786725709</v>
      </c>
      <c r="AH4" s="46">
        <v>-5.9413809999999998</v>
      </c>
      <c r="AI4" s="46">
        <v>-41.329270000000001</v>
      </c>
      <c r="AJ4" s="47">
        <v>-17.379017000000001</v>
      </c>
      <c r="AK4" s="47">
        <v>178.15530000000001</v>
      </c>
      <c r="AL4" s="29">
        <v>10.86</v>
      </c>
      <c r="AM4" s="23"/>
      <c r="AN4" s="30"/>
      <c r="AO4" s="30"/>
      <c r="AP4" s="30"/>
      <c r="AQ4" s="30"/>
      <c r="AR4" s="30"/>
      <c r="AS4" s="30">
        <v>1.01597</v>
      </c>
      <c r="AT4" s="30">
        <v>33.283000000000001</v>
      </c>
      <c r="AU4" s="30">
        <v>8.2873000000000001</v>
      </c>
      <c r="AV4" s="30">
        <v>0.63058199999999998</v>
      </c>
      <c r="AW4" s="16">
        <v>0.29264699999999999</v>
      </c>
      <c r="AX4" s="16">
        <v>0.33</v>
      </c>
      <c r="AY4" s="16">
        <v>143.786</v>
      </c>
    </row>
    <row r="5" spans="1:54" s="16" customFormat="1" ht="18" x14ac:dyDescent="0.55000000000000004">
      <c r="A5" s="15">
        <v>45921</v>
      </c>
      <c r="B5" s="16" t="s">
        <v>60</v>
      </c>
      <c r="D5" s="18">
        <v>0.71527777777777779</v>
      </c>
      <c r="E5" s="26"/>
      <c r="F5" s="19"/>
      <c r="G5" s="19"/>
      <c r="H5" s="20">
        <v>8.8800000000000008</v>
      </c>
      <c r="I5" s="21">
        <v>28.3</v>
      </c>
      <c r="J5" s="19">
        <v>0.41799999999999998</v>
      </c>
      <c r="K5" s="21">
        <v>27.1</v>
      </c>
      <c r="L5" s="21">
        <v>139.80000000000001</v>
      </c>
      <c r="M5" s="21">
        <v>23.4</v>
      </c>
      <c r="N5" s="20">
        <v>6.62</v>
      </c>
      <c r="O5" s="21">
        <v>27.1</v>
      </c>
      <c r="P5" s="22">
        <v>51</v>
      </c>
      <c r="Q5" s="16">
        <f t="shared" si="0"/>
        <v>124.5</v>
      </c>
      <c r="R5" s="23">
        <v>4</v>
      </c>
      <c r="S5" s="24"/>
      <c r="T5" s="44">
        <v>0.02</v>
      </c>
      <c r="U5" s="44">
        <v>1.4999999999999999E-2</v>
      </c>
      <c r="V5" s="25"/>
      <c r="W5" s="44">
        <v>1.2999999999999999E-2</v>
      </c>
      <c r="X5" s="22">
        <v>30.48</v>
      </c>
      <c r="Y5" s="22"/>
      <c r="Z5" s="22">
        <v>20.9</v>
      </c>
      <c r="AA5" s="22">
        <v>42.71</v>
      </c>
      <c r="AB5" s="22"/>
      <c r="AC5" s="22">
        <v>4.75</v>
      </c>
      <c r="AD5" s="27">
        <v>25.29</v>
      </c>
      <c r="AE5" s="27">
        <f t="shared" si="1"/>
        <v>3.3349918225198181</v>
      </c>
      <c r="AF5" s="27">
        <f t="shared" si="2"/>
        <v>3.5098790717009356</v>
      </c>
      <c r="AG5" s="28">
        <f t="shared" si="3"/>
        <v>2.555011655936096</v>
      </c>
      <c r="AH5" s="46">
        <v>-5.1255219999999984</v>
      </c>
      <c r="AI5" s="46">
        <v>-35.953410000000012</v>
      </c>
      <c r="AJ5" s="47">
        <v>-17.401833</v>
      </c>
      <c r="AK5" s="47">
        <v>178.13798299999999</v>
      </c>
      <c r="AL5" s="29">
        <v>25.47</v>
      </c>
      <c r="AM5" s="23"/>
      <c r="AN5" s="30"/>
      <c r="AO5" s="30"/>
      <c r="AP5" s="30"/>
      <c r="AQ5" s="30"/>
      <c r="AR5" s="30"/>
      <c r="AS5" s="30">
        <v>2.9492600000000002</v>
      </c>
      <c r="AT5" s="30">
        <v>12.823700000000001</v>
      </c>
      <c r="AU5" s="30">
        <v>2.2986300000000002</v>
      </c>
      <c r="AV5" s="30">
        <v>0.36957600000000002</v>
      </c>
      <c r="AW5" s="16">
        <v>2.3780899999999998</v>
      </c>
      <c r="AX5" s="16">
        <v>2.27</v>
      </c>
      <c r="AY5" s="16">
        <v>102.67400000000001</v>
      </c>
    </row>
    <row r="6" spans="1:54" s="16" customFormat="1" ht="18" x14ac:dyDescent="0.55000000000000004">
      <c r="A6" s="15">
        <v>45921</v>
      </c>
      <c r="B6" s="16" t="s">
        <v>61</v>
      </c>
      <c r="D6" s="18">
        <v>0.72847222222222219</v>
      </c>
      <c r="E6" s="26"/>
      <c r="F6" s="19"/>
      <c r="G6" s="19"/>
      <c r="H6" s="20">
        <v>8.86</v>
      </c>
      <c r="I6" s="21">
        <v>28.3</v>
      </c>
      <c r="J6" s="19">
        <v>0.35599999999999998</v>
      </c>
      <c r="K6" s="21">
        <v>36.4</v>
      </c>
      <c r="L6" s="21">
        <v>124.9</v>
      </c>
      <c r="M6" s="21">
        <v>31.4</v>
      </c>
      <c r="N6" s="20">
        <v>6.62</v>
      </c>
      <c r="O6" s="21">
        <v>27.1</v>
      </c>
      <c r="P6" s="22">
        <v>32</v>
      </c>
      <c r="Q6" s="16">
        <f t="shared" si="0"/>
        <v>78.099999999999994</v>
      </c>
      <c r="R6" s="23">
        <v>2.8</v>
      </c>
      <c r="S6" s="24"/>
      <c r="T6" s="44">
        <v>0.63</v>
      </c>
      <c r="U6" s="44">
        <v>2E-3</v>
      </c>
      <c r="V6" s="25"/>
      <c r="W6" s="44">
        <v>1E-3</v>
      </c>
      <c r="X6" s="22">
        <v>34.729999999999997</v>
      </c>
      <c r="Y6" s="35"/>
      <c r="Z6" s="22">
        <v>24.02</v>
      </c>
      <c r="AA6" s="22">
        <v>49.41</v>
      </c>
      <c r="AB6" s="22">
        <v>1.27</v>
      </c>
      <c r="AC6" s="22">
        <v>0.59</v>
      </c>
      <c r="AD6" s="27">
        <v>15.52</v>
      </c>
      <c r="AE6" s="27">
        <f t="shared" si="1"/>
        <v>2.7590543946740551</v>
      </c>
      <c r="AF6" s="27">
        <f t="shared" si="2"/>
        <v>3.0037524565658238</v>
      </c>
      <c r="AG6" s="28">
        <f t="shared" si="3"/>
        <v>4.2461610844916908</v>
      </c>
      <c r="AH6" s="46">
        <v>-5.612601999999999</v>
      </c>
      <c r="AI6" s="46">
        <v>-39.30827</v>
      </c>
      <c r="AJ6" s="47">
        <v>-17.401866999999999</v>
      </c>
      <c r="AK6" s="47">
        <v>178.13800000000001</v>
      </c>
      <c r="AL6" s="29">
        <v>25.54</v>
      </c>
      <c r="AM6" s="32"/>
      <c r="AN6" s="30"/>
      <c r="AO6" s="30"/>
      <c r="AP6" s="30"/>
      <c r="AQ6" s="30"/>
      <c r="AR6" s="30"/>
      <c r="AS6" s="30">
        <v>4.7744900000000001</v>
      </c>
      <c r="AT6" s="30">
        <v>3.7301099999999998</v>
      </c>
      <c r="AU6" s="30">
        <v>0.88604499999999997</v>
      </c>
      <c r="AV6" s="30">
        <v>4.6358999999999997E-2</v>
      </c>
      <c r="AW6" s="16">
        <v>2.4620600000000001</v>
      </c>
      <c r="AX6" s="16">
        <v>3.18</v>
      </c>
      <c r="AY6" s="16">
        <v>35.985500000000002</v>
      </c>
    </row>
    <row r="7" spans="1:54" s="16" customFormat="1" ht="18" x14ac:dyDescent="0.55000000000000004">
      <c r="A7" s="15">
        <v>45923</v>
      </c>
      <c r="B7" s="16" t="s">
        <v>63</v>
      </c>
      <c r="D7" s="18">
        <v>0.67152777777777772</v>
      </c>
      <c r="E7" s="26"/>
      <c r="F7" s="19"/>
      <c r="G7" s="19"/>
      <c r="H7" s="20">
        <v>7.99</v>
      </c>
      <c r="I7" s="21">
        <v>26.2</v>
      </c>
      <c r="J7" s="19">
        <v>0.56599999999999995</v>
      </c>
      <c r="K7" s="21">
        <v>25.2</v>
      </c>
      <c r="L7" s="21">
        <v>217.1</v>
      </c>
      <c r="M7" s="21">
        <v>5</v>
      </c>
      <c r="N7" s="20">
        <v>7.17</v>
      </c>
      <c r="O7" s="21">
        <v>25.4</v>
      </c>
      <c r="P7" s="22">
        <v>97</v>
      </c>
      <c r="Q7" s="16">
        <f t="shared" si="0"/>
        <v>236.8</v>
      </c>
      <c r="R7" s="23">
        <v>24.2</v>
      </c>
      <c r="S7" s="24"/>
      <c r="T7" s="44">
        <v>3.6999999999999998E-2</v>
      </c>
      <c r="U7" s="44">
        <v>1.4999999999999999E-2</v>
      </c>
      <c r="V7" s="25"/>
      <c r="W7" s="44">
        <v>4.0000000000000001E-3</v>
      </c>
      <c r="X7" s="22">
        <v>15.71</v>
      </c>
      <c r="Y7" s="22">
        <v>0.83</v>
      </c>
      <c r="Z7" s="22">
        <v>14.57</v>
      </c>
      <c r="AA7" s="22">
        <v>16.03</v>
      </c>
      <c r="AB7" s="22">
        <v>0.94</v>
      </c>
      <c r="AC7" s="22">
        <v>29.48</v>
      </c>
      <c r="AD7" s="27">
        <v>54.27</v>
      </c>
      <c r="AE7" s="27">
        <f t="shared" si="1"/>
        <v>4.64143118782322</v>
      </c>
      <c r="AF7" s="27">
        <f t="shared" si="2"/>
        <v>5.8554187233502439</v>
      </c>
      <c r="AG7" s="28">
        <f t="shared" si="3"/>
        <v>11.565255727194732</v>
      </c>
      <c r="AH7" s="46">
        <v>-5.78308</v>
      </c>
      <c r="AI7" s="46">
        <v>-40.136879999999998</v>
      </c>
      <c r="AJ7" s="47">
        <v>-17.351182999999999</v>
      </c>
      <c r="AK7" s="47">
        <v>178.22053299999999</v>
      </c>
      <c r="AL7" s="29">
        <v>11.64</v>
      </c>
      <c r="AM7" s="32"/>
      <c r="AN7" s="30"/>
      <c r="AO7" s="30"/>
      <c r="AP7" s="30"/>
      <c r="AQ7" s="30"/>
      <c r="AR7" s="30"/>
      <c r="AS7" s="30">
        <v>0.60318099999999997</v>
      </c>
      <c r="AT7" s="30">
        <v>62.763100000000001</v>
      </c>
      <c r="AU7" s="30">
        <v>2.5544699999999998</v>
      </c>
      <c r="AV7" s="30">
        <v>0.38392799999999999</v>
      </c>
      <c r="AW7" s="16">
        <v>0.745726</v>
      </c>
      <c r="AX7" s="16">
        <v>0.38</v>
      </c>
      <c r="AY7" s="16">
        <v>355.70699999999999</v>
      </c>
    </row>
    <row r="8" spans="1:54" s="16" customFormat="1" ht="18" x14ac:dyDescent="0.55000000000000004">
      <c r="A8" s="15">
        <v>45922</v>
      </c>
      <c r="B8" s="16" t="s">
        <v>62</v>
      </c>
      <c r="D8" s="18">
        <v>0.6875</v>
      </c>
      <c r="E8" s="26"/>
      <c r="F8" s="19"/>
      <c r="G8" s="19"/>
      <c r="H8" s="20">
        <v>6.92</v>
      </c>
      <c r="I8" s="21">
        <v>29.3</v>
      </c>
      <c r="J8" s="19">
        <v>0.91600000000000004</v>
      </c>
      <c r="K8" s="21">
        <v>28.1</v>
      </c>
      <c r="L8" s="20">
        <v>217</v>
      </c>
      <c r="M8" s="21">
        <v>14.6</v>
      </c>
      <c r="N8" s="21">
        <v>2.68</v>
      </c>
      <c r="O8" s="21">
        <v>28.2</v>
      </c>
      <c r="P8" s="22">
        <v>139</v>
      </c>
      <c r="Q8" s="16">
        <f t="shared" si="0"/>
        <v>339.3</v>
      </c>
      <c r="R8" s="23">
        <v>23.8</v>
      </c>
      <c r="S8" s="24"/>
      <c r="T8" s="44">
        <v>1.4999999999999999E-2</v>
      </c>
      <c r="U8" s="44">
        <v>1.0999999999999999E-2</v>
      </c>
      <c r="V8" s="25"/>
      <c r="W8" s="44">
        <v>0.01</v>
      </c>
      <c r="X8" s="22">
        <v>70.900000000000006</v>
      </c>
      <c r="Y8" s="22">
        <v>4.58</v>
      </c>
      <c r="Z8" s="22">
        <v>35.299999999999997</v>
      </c>
      <c r="AA8" s="22">
        <v>20.79</v>
      </c>
      <c r="AB8" s="22">
        <v>0.7</v>
      </c>
      <c r="AC8" s="22">
        <v>23.65</v>
      </c>
      <c r="AD8" s="27">
        <v>73.400000000000006</v>
      </c>
      <c r="AE8" s="27">
        <f t="shared" si="1"/>
        <v>8.3687658149673645</v>
      </c>
      <c r="AF8" s="27">
        <f t="shared" si="2"/>
        <v>6.5309925650892655</v>
      </c>
      <c r="AG8" s="28">
        <f t="shared" si="3"/>
        <v>-12.334248670354036</v>
      </c>
      <c r="AH8" s="46">
        <v>-5.8561420000000002</v>
      </c>
      <c r="AI8" s="46">
        <v>-40.086354999999998</v>
      </c>
      <c r="AJ8" s="47">
        <v>-17.348749999999999</v>
      </c>
      <c r="AK8" s="47">
        <v>178.20728299999999</v>
      </c>
      <c r="AL8" s="32">
        <v>11</v>
      </c>
      <c r="AM8" s="32"/>
      <c r="AN8" s="30"/>
      <c r="AO8" s="30"/>
      <c r="AP8" s="30"/>
      <c r="AQ8" s="30"/>
      <c r="AR8" s="30"/>
      <c r="AS8" s="30">
        <v>0.62172000000000005</v>
      </c>
      <c r="AT8" s="30">
        <v>0.38820700000000002</v>
      </c>
      <c r="AU8" s="30">
        <v>0.39305099999999998</v>
      </c>
      <c r="AV8" s="30">
        <v>0.58306800000000003</v>
      </c>
      <c r="AW8" s="16">
        <v>1.31128</v>
      </c>
      <c r="AX8" s="16">
        <v>0.75</v>
      </c>
      <c r="AY8" s="16">
        <v>423.28500000000003</v>
      </c>
    </row>
    <row r="9" spans="1:54" s="16" customFormat="1" ht="18" x14ac:dyDescent="0.55000000000000004">
      <c r="A9" s="15">
        <v>45922</v>
      </c>
      <c r="B9" s="16" t="s">
        <v>64</v>
      </c>
      <c r="D9" s="18">
        <v>0.69305555555555554</v>
      </c>
      <c r="E9" s="26"/>
      <c r="F9" s="19"/>
      <c r="G9" s="19"/>
      <c r="H9" s="20">
        <v>7.07</v>
      </c>
      <c r="I9" s="21">
        <v>29</v>
      </c>
      <c r="J9" s="20">
        <v>0.68899999999999995</v>
      </c>
      <c r="K9" s="21">
        <v>27.6</v>
      </c>
      <c r="L9" s="20">
        <v>225.9</v>
      </c>
      <c r="M9" s="21">
        <v>10.9</v>
      </c>
      <c r="N9" s="21">
        <v>2.94</v>
      </c>
      <c r="O9" s="21">
        <v>27.8</v>
      </c>
      <c r="P9" s="22">
        <v>148</v>
      </c>
      <c r="Q9" s="16">
        <f t="shared" si="0"/>
        <v>361.2</v>
      </c>
      <c r="R9" s="16">
        <v>0.6</v>
      </c>
      <c r="S9" s="24"/>
      <c r="T9" s="44">
        <v>0.02</v>
      </c>
      <c r="U9" s="44">
        <v>1.4E-2</v>
      </c>
      <c r="V9" s="25"/>
      <c r="W9" s="44">
        <v>1.9E-2</v>
      </c>
      <c r="X9" s="22">
        <v>11.72</v>
      </c>
      <c r="Y9" s="22">
        <v>4.67</v>
      </c>
      <c r="Z9" s="22">
        <v>25.11</v>
      </c>
      <c r="AA9" s="22">
        <v>16.75</v>
      </c>
      <c r="AB9" s="22">
        <v>0.56000000000000005</v>
      </c>
      <c r="AC9" s="22">
        <v>28.34</v>
      </c>
      <c r="AD9" s="27">
        <v>71.48</v>
      </c>
      <c r="AE9" s="27">
        <f t="shared" si="1"/>
        <v>6.8498999011254202</v>
      </c>
      <c r="AF9" s="27">
        <f t="shared" si="2"/>
        <v>6.6419596757355173</v>
      </c>
      <c r="AG9" s="28">
        <f t="shared" si="3"/>
        <v>-1.5412273171485458</v>
      </c>
      <c r="AH9" s="46">
        <v>-5.9535579999999992</v>
      </c>
      <c r="AI9" s="46">
        <v>-41.854730000000004</v>
      </c>
      <c r="AJ9" s="47">
        <v>-17.348783000000001</v>
      </c>
      <c r="AK9" s="47">
        <v>178.20698300000001</v>
      </c>
      <c r="AL9" s="32">
        <v>11.26</v>
      </c>
      <c r="AM9" s="32"/>
      <c r="AN9" s="30"/>
      <c r="AO9" s="30"/>
      <c r="AP9" s="30"/>
      <c r="AQ9" s="30"/>
      <c r="AR9" s="30"/>
      <c r="AS9" s="30">
        <v>0.33443800000000001</v>
      </c>
      <c r="AT9" s="30">
        <v>0.16202</v>
      </c>
      <c r="AU9" s="30">
        <v>1.5113399999999999</v>
      </c>
      <c r="AV9" s="30">
        <v>0.16772699999999999</v>
      </c>
      <c r="AW9" s="16">
        <v>4.1833600000000004</v>
      </c>
      <c r="AX9" s="16">
        <v>0.66</v>
      </c>
      <c r="AY9" s="16">
        <v>330.62900000000002</v>
      </c>
    </row>
    <row r="10" spans="1:54" ht="18" x14ac:dyDescent="0.55000000000000004">
      <c r="A10" s="15">
        <v>45922</v>
      </c>
      <c r="B10" s="16" t="s">
        <v>65</v>
      </c>
      <c r="C10" s="16"/>
      <c r="D10" s="33">
        <v>0.71250000000000002</v>
      </c>
      <c r="E10" s="30">
        <v>3.49</v>
      </c>
      <c r="G10" s="22">
        <v>0.53500000000000003</v>
      </c>
      <c r="H10" s="22">
        <v>7.24</v>
      </c>
      <c r="I10" s="22">
        <v>28.7</v>
      </c>
      <c r="J10" s="22">
        <v>0.66800000000000004</v>
      </c>
      <c r="K10" s="22">
        <v>27.6</v>
      </c>
      <c r="L10" s="22">
        <v>230.7</v>
      </c>
      <c r="M10" s="22">
        <v>-9</v>
      </c>
      <c r="N10" s="22">
        <v>4.21</v>
      </c>
      <c r="O10" s="22">
        <v>27.4</v>
      </c>
      <c r="P10" s="22">
        <v>124</v>
      </c>
      <c r="Q10" s="16">
        <f t="shared" si="0"/>
        <v>302.7</v>
      </c>
      <c r="R10" s="22">
        <v>6.4</v>
      </c>
      <c r="S10" s="24"/>
      <c r="T10" s="44">
        <v>0.21299999999999999</v>
      </c>
      <c r="U10" s="44">
        <v>0.20200000000000001</v>
      </c>
      <c r="W10" s="44">
        <v>0.23699999999999999</v>
      </c>
      <c r="X10" s="22">
        <v>34.11</v>
      </c>
      <c r="Y10" s="22">
        <v>5.91</v>
      </c>
      <c r="Z10" s="22">
        <v>12.5</v>
      </c>
      <c r="AA10" s="22">
        <v>89.33</v>
      </c>
      <c r="AB10" s="22">
        <v>7.88</v>
      </c>
      <c r="AC10" s="22">
        <v>29.59</v>
      </c>
      <c r="AD10" s="27">
        <v>8.26</v>
      </c>
      <c r="AE10" s="27">
        <f t="shared" si="1"/>
        <v>6.2788793997015757</v>
      </c>
      <c r="AF10" s="27">
        <f t="shared" si="2"/>
        <v>6.9330141655371342</v>
      </c>
      <c r="AG10" s="28">
        <f t="shared" si="3"/>
        <v>4.9511053249522572</v>
      </c>
      <c r="AH10" s="46">
        <v>-5.9292039999999986</v>
      </c>
      <c r="AI10" s="46">
        <v>-41.22822</v>
      </c>
      <c r="AJ10" s="47">
        <v>-17.340399999999999</v>
      </c>
      <c r="AK10" s="47">
        <v>178.2199</v>
      </c>
      <c r="AL10" s="48">
        <v>6.97</v>
      </c>
      <c r="AM10" s="32"/>
      <c r="AN10" s="30"/>
      <c r="AO10" s="30"/>
      <c r="AP10" s="30"/>
      <c r="AQ10" s="30"/>
      <c r="AR10" s="30"/>
      <c r="AS10" s="30">
        <v>1.5195099999999999</v>
      </c>
      <c r="AT10" s="30">
        <v>0.69050999999999996</v>
      </c>
      <c r="AU10" s="30">
        <v>0.785802</v>
      </c>
      <c r="AV10" s="30">
        <v>1.65069</v>
      </c>
      <c r="AW10" s="16">
        <v>14.770200000000001</v>
      </c>
      <c r="AX10" s="16">
        <v>0.7</v>
      </c>
      <c r="AY10" s="16">
        <v>32.834200000000003</v>
      </c>
    </row>
    <row r="11" spans="1:54" ht="18" x14ac:dyDescent="0.55000000000000004">
      <c r="A11" s="15">
        <v>45923</v>
      </c>
      <c r="B11" s="16" t="s">
        <v>66</v>
      </c>
      <c r="C11" s="16"/>
      <c r="D11" s="33">
        <v>0.49583333333333335</v>
      </c>
      <c r="E11" s="30">
        <v>1.0549999999999999</v>
      </c>
      <c r="G11" s="22">
        <v>0.59</v>
      </c>
      <c r="H11" s="22">
        <v>7.22</v>
      </c>
      <c r="I11" s="22">
        <v>26.3</v>
      </c>
      <c r="J11" s="22">
        <v>0.71699999999999997</v>
      </c>
      <c r="K11" s="22">
        <v>26.1</v>
      </c>
      <c r="L11" s="22">
        <v>231.3</v>
      </c>
      <c r="M11" s="22">
        <v>29.2</v>
      </c>
      <c r="N11" s="22">
        <v>3.36</v>
      </c>
      <c r="O11" s="22">
        <v>26.1</v>
      </c>
      <c r="P11" s="22">
        <v>135</v>
      </c>
      <c r="Q11" s="16">
        <f t="shared" si="0"/>
        <v>329.5</v>
      </c>
      <c r="R11" s="22">
        <v>62.6</v>
      </c>
      <c r="S11" s="24"/>
      <c r="T11" s="44">
        <v>1.6E-2</v>
      </c>
      <c r="U11" s="44">
        <v>6.0000000000000001E-3</v>
      </c>
      <c r="V11" s="35"/>
      <c r="W11" s="44">
        <v>1E-3</v>
      </c>
      <c r="X11" s="22">
        <v>20.76</v>
      </c>
      <c r="Y11" s="22">
        <v>2.77</v>
      </c>
      <c r="Z11" s="22">
        <v>31.13</v>
      </c>
      <c r="AA11" s="22">
        <v>24.4</v>
      </c>
      <c r="AC11" s="22">
        <v>31.51</v>
      </c>
      <c r="AD11" s="27">
        <v>74.900000000000006</v>
      </c>
      <c r="AE11" s="27">
        <f t="shared" si="1"/>
        <v>6.679647162678167</v>
      </c>
      <c r="AF11" s="27">
        <f t="shared" si="2"/>
        <v>7.3918101531772749</v>
      </c>
      <c r="AG11" s="28">
        <f t="shared" si="3"/>
        <v>5.061046446814407</v>
      </c>
      <c r="AH11" s="46">
        <v>-5.4786549999999998</v>
      </c>
      <c r="AI11" s="46">
        <v>-38.095669999999998</v>
      </c>
      <c r="AJ11" s="47">
        <v>-17.348233</v>
      </c>
      <c r="AK11" s="47">
        <v>178.20313300000001</v>
      </c>
      <c r="AL11" s="48">
        <v>8.56</v>
      </c>
      <c r="AM11" s="32"/>
      <c r="AN11" s="30"/>
      <c r="AO11" s="30"/>
      <c r="AP11" s="30"/>
      <c r="AQ11" s="30"/>
      <c r="AR11" s="30"/>
      <c r="AS11" s="30">
        <v>0.55069900000000005</v>
      </c>
      <c r="AT11" s="30">
        <v>211.46700000000001</v>
      </c>
      <c r="AU11" s="30">
        <v>1.38632</v>
      </c>
      <c r="AV11" s="30">
        <v>0.40194099999999999</v>
      </c>
      <c r="AW11" s="22">
        <v>6.1946199999999996</v>
      </c>
      <c r="AX11" s="22">
        <v>1.29</v>
      </c>
      <c r="AY11" s="22">
        <v>450.03500000000003</v>
      </c>
    </row>
    <row r="12" spans="1:54" ht="18" x14ac:dyDescent="0.55000000000000004">
      <c r="A12" s="15">
        <v>45923</v>
      </c>
      <c r="B12" s="16" t="s">
        <v>67</v>
      </c>
      <c r="C12" s="16"/>
      <c r="D12" s="33">
        <v>0.5229166666666667</v>
      </c>
      <c r="E12" s="30">
        <v>6.3949999999999996</v>
      </c>
      <c r="G12" s="22">
        <v>0.25</v>
      </c>
      <c r="H12" s="30">
        <v>7.35</v>
      </c>
      <c r="I12" s="22">
        <v>28.6</v>
      </c>
      <c r="J12" s="22">
        <v>0.46400000000000002</v>
      </c>
      <c r="K12" s="22">
        <v>27.4</v>
      </c>
      <c r="L12" s="22">
        <v>245.3</v>
      </c>
      <c r="M12" s="22">
        <v>27.8</v>
      </c>
      <c r="N12" s="22">
        <v>6.84</v>
      </c>
      <c r="O12" s="22">
        <v>27.7</v>
      </c>
      <c r="P12" s="22">
        <v>93</v>
      </c>
      <c r="Q12" s="16">
        <f t="shared" si="0"/>
        <v>227</v>
      </c>
      <c r="R12" s="22">
        <v>0.6</v>
      </c>
      <c r="S12" s="24"/>
      <c r="T12" s="44">
        <v>1.2999999999999999E-2</v>
      </c>
      <c r="U12" s="44">
        <v>1.2E-2</v>
      </c>
      <c r="V12" s="35"/>
      <c r="W12" s="44">
        <v>1.2999999999999999E-2</v>
      </c>
      <c r="X12" s="22">
        <v>8.6999999999999993</v>
      </c>
      <c r="Y12" s="22">
        <v>13.17</v>
      </c>
      <c r="Z12" s="22">
        <v>21.39</v>
      </c>
      <c r="AA12" s="22">
        <v>15.73</v>
      </c>
      <c r="AB12" s="22">
        <v>0.45</v>
      </c>
      <c r="AC12" s="22">
        <v>19.45</v>
      </c>
      <c r="AD12" s="27">
        <v>45.12</v>
      </c>
      <c r="AE12" s="27">
        <f t="shared" si="1"/>
        <v>4.6244262527837572</v>
      </c>
      <c r="AF12" s="27">
        <f t="shared" si="2"/>
        <v>4.5477420461404243</v>
      </c>
      <c r="AG12" s="28">
        <f t="shared" si="3"/>
        <v>-0.83605320077180978</v>
      </c>
      <c r="AH12" s="46">
        <v>-0.77833299999999994</v>
      </c>
      <c r="AI12" s="46">
        <v>-8.1949749999999995</v>
      </c>
      <c r="AJ12" s="47">
        <v>-17.349267000000001</v>
      </c>
      <c r="AK12" s="47">
        <v>178.202383</v>
      </c>
      <c r="AL12" s="48">
        <v>15.23</v>
      </c>
      <c r="AM12" s="32"/>
      <c r="AN12" s="30"/>
      <c r="AO12" s="30"/>
      <c r="AP12" s="30"/>
      <c r="AQ12" s="30"/>
      <c r="AR12" s="30"/>
      <c r="AS12" s="30">
        <v>0.45288699999999998</v>
      </c>
      <c r="AT12" s="30">
        <v>0.25966800000000001</v>
      </c>
      <c r="AU12" s="30">
        <v>0.15123700000000001</v>
      </c>
      <c r="AV12" s="30">
        <v>1.40622</v>
      </c>
      <c r="AW12" s="22">
        <v>2.1691099999999999</v>
      </c>
      <c r="AX12" s="22">
        <v>1</v>
      </c>
      <c r="AY12" s="22">
        <v>335.27300000000002</v>
      </c>
    </row>
    <row r="13" spans="1:54" ht="18" x14ac:dyDescent="0.55000000000000004">
      <c r="A13" s="15">
        <v>45923</v>
      </c>
      <c r="B13" s="16" t="s">
        <v>68</v>
      </c>
      <c r="C13" s="16"/>
      <c r="D13" s="33">
        <v>0.55069444444444449</v>
      </c>
      <c r="E13" s="30"/>
      <c r="H13" s="22">
        <v>7.27</v>
      </c>
      <c r="I13" s="22">
        <v>26.2</v>
      </c>
      <c r="J13" s="22">
        <v>0.73899999999999999</v>
      </c>
      <c r="K13" s="22">
        <v>24.9</v>
      </c>
      <c r="L13" s="22">
        <v>210.1</v>
      </c>
      <c r="M13" s="35" t="s">
        <v>73</v>
      </c>
      <c r="N13" s="30">
        <v>6.2</v>
      </c>
      <c r="O13" s="35">
        <v>29.1</v>
      </c>
      <c r="P13" s="22">
        <v>145</v>
      </c>
      <c r="Q13" s="16">
        <f t="shared" si="0"/>
        <v>353.9</v>
      </c>
      <c r="R13" s="22">
        <v>16</v>
      </c>
      <c r="S13" s="24"/>
      <c r="T13" s="44">
        <v>8.9999999999999993E-3</v>
      </c>
      <c r="U13" s="44">
        <v>8.9999999999999993E-3</v>
      </c>
      <c r="V13" s="35"/>
      <c r="W13" s="44">
        <v>1.0999999999999999E-2</v>
      </c>
      <c r="X13" s="22">
        <v>47.06</v>
      </c>
      <c r="Y13" s="22">
        <v>1.43</v>
      </c>
      <c r="Z13" s="22">
        <v>3.97</v>
      </c>
      <c r="AA13" s="22">
        <v>21.91</v>
      </c>
      <c r="AB13" s="22">
        <v>0.7</v>
      </c>
      <c r="AC13" s="22">
        <v>30.05</v>
      </c>
      <c r="AD13" s="27">
        <v>78.150000000000006</v>
      </c>
      <c r="AE13" s="27">
        <f t="shared" si="1"/>
        <v>7.2330459965415619</v>
      </c>
      <c r="AF13" s="27">
        <f t="shared" si="2"/>
        <v>7.3434631365603869</v>
      </c>
      <c r="AG13" s="28">
        <f t="shared" si="3"/>
        <v>0.75750057171149099</v>
      </c>
      <c r="AH13" s="46">
        <v>-4.8332739999999994</v>
      </c>
      <c r="AI13" s="46">
        <v>-34.185035000000013</v>
      </c>
      <c r="AJ13" s="47">
        <v>-17.356366999999999</v>
      </c>
      <c r="AK13" s="47">
        <v>178.21383299999999</v>
      </c>
      <c r="AL13" s="48">
        <v>35</v>
      </c>
      <c r="AM13" s="32"/>
      <c r="AN13" s="30"/>
      <c r="AO13" s="30"/>
      <c r="AP13" s="30"/>
      <c r="AQ13" s="30"/>
      <c r="AR13" s="30"/>
      <c r="AS13" s="30">
        <v>0.30948900000000001</v>
      </c>
      <c r="AT13" s="30">
        <v>5.1938999999999999E-2</v>
      </c>
      <c r="AU13" s="30">
        <v>0.54807399999999995</v>
      </c>
      <c r="AV13" s="30">
        <v>1.07409</v>
      </c>
      <c r="AW13" s="22">
        <v>0.98592000000000002</v>
      </c>
      <c r="AX13" s="22">
        <v>1.27</v>
      </c>
      <c r="AY13" s="22">
        <v>387.97</v>
      </c>
    </row>
    <row r="14" spans="1:54" ht="18" x14ac:dyDescent="0.55000000000000004">
      <c r="A14" s="15">
        <v>45923</v>
      </c>
      <c r="B14" s="16" t="s">
        <v>69</v>
      </c>
      <c r="C14" s="16"/>
      <c r="D14" s="33">
        <v>0.69444444444444442</v>
      </c>
      <c r="E14" s="33"/>
      <c r="G14" s="22">
        <v>0.59499999999999997</v>
      </c>
      <c r="H14" s="22">
        <v>7.64</v>
      </c>
      <c r="I14" s="22">
        <v>27</v>
      </c>
      <c r="J14" s="22">
        <v>0.68799999999999994</v>
      </c>
      <c r="K14" s="22">
        <v>25.8</v>
      </c>
      <c r="L14" s="22">
        <v>190.5</v>
      </c>
      <c r="M14" s="22">
        <v>-2.2999999999999998</v>
      </c>
      <c r="N14" s="22">
        <v>4.58</v>
      </c>
      <c r="O14" s="22">
        <v>25.7</v>
      </c>
      <c r="P14" s="22">
        <v>136</v>
      </c>
      <c r="Q14" s="16">
        <f t="shared" si="0"/>
        <v>331.9</v>
      </c>
      <c r="R14" s="22">
        <v>26</v>
      </c>
      <c r="S14" s="36"/>
      <c r="T14" s="44">
        <v>0.02</v>
      </c>
      <c r="U14" s="44">
        <v>0.01</v>
      </c>
      <c r="V14" s="35"/>
      <c r="W14" s="44">
        <v>1.0999999999999999E-2</v>
      </c>
      <c r="X14" s="22">
        <v>20.36</v>
      </c>
      <c r="Y14" s="22">
        <v>1.06</v>
      </c>
      <c r="Z14" s="22">
        <v>20.86</v>
      </c>
      <c r="AA14" s="22">
        <v>18.38</v>
      </c>
      <c r="AB14" s="22">
        <v>0.63</v>
      </c>
      <c r="AC14" s="22">
        <v>29.33</v>
      </c>
      <c r="AD14" s="27">
        <v>64.06</v>
      </c>
      <c r="AE14" s="27">
        <f t="shared" si="1"/>
        <v>6.4661848408448215</v>
      </c>
      <c r="AF14" s="27">
        <f t="shared" si="2"/>
        <v>6.4258415227263885</v>
      </c>
      <c r="AG14" s="28">
        <f t="shared" si="3"/>
        <v>-0.31293232716642905</v>
      </c>
      <c r="AH14" s="46">
        <v>-5.8561420000000002</v>
      </c>
      <c r="AI14" s="46">
        <v>-40.530975000000012</v>
      </c>
      <c r="AJ14" s="47">
        <v>-17.343782999999998</v>
      </c>
      <c r="AK14" s="47">
        <v>178.198083</v>
      </c>
      <c r="AL14" s="48">
        <v>5.85</v>
      </c>
      <c r="AM14" s="30"/>
      <c r="AN14" s="30"/>
      <c r="AO14" s="30"/>
      <c r="AP14" s="30"/>
      <c r="AQ14" s="30"/>
      <c r="AR14" s="30"/>
      <c r="AS14" s="30">
        <v>0.53123600000000004</v>
      </c>
      <c r="AT14" s="30">
        <v>31.954599999999999</v>
      </c>
      <c r="AU14" s="30">
        <v>0.150059</v>
      </c>
      <c r="AV14" s="30">
        <v>0.50428899999999999</v>
      </c>
      <c r="AW14" s="22">
        <v>12.391999999999999</v>
      </c>
      <c r="AX14" s="22">
        <v>0.86</v>
      </c>
      <c r="AY14" s="22">
        <v>381.18</v>
      </c>
    </row>
    <row r="15" spans="1:54" ht="18" x14ac:dyDescent="0.55000000000000004">
      <c r="A15" s="15">
        <v>45923</v>
      </c>
      <c r="B15" s="16" t="s">
        <v>70</v>
      </c>
      <c r="C15" s="16"/>
      <c r="D15" s="33">
        <v>0.71666666666666667</v>
      </c>
      <c r="E15" s="33"/>
      <c r="H15" s="22">
        <v>7.37</v>
      </c>
      <c r="I15" s="22">
        <v>27.1</v>
      </c>
      <c r="J15" s="22">
        <v>0.63400000000000001</v>
      </c>
      <c r="K15" s="22">
        <v>26.1</v>
      </c>
      <c r="L15" s="22">
        <v>212.2</v>
      </c>
      <c r="M15" s="22">
        <v>26.4</v>
      </c>
      <c r="N15" s="22">
        <v>8.83</v>
      </c>
      <c r="O15" s="22">
        <v>24.7</v>
      </c>
      <c r="P15" s="22">
        <v>98</v>
      </c>
      <c r="Q15" s="16">
        <f t="shared" si="0"/>
        <v>239.2</v>
      </c>
      <c r="R15" s="22">
        <v>4</v>
      </c>
      <c r="S15" s="36"/>
      <c r="T15" s="44">
        <v>2.1000000000000001E-2</v>
      </c>
      <c r="U15" s="44">
        <v>1.7000000000000001E-2</v>
      </c>
      <c r="V15" s="35"/>
      <c r="W15" s="44">
        <v>1.9E-2</v>
      </c>
      <c r="X15" s="22">
        <v>63.86</v>
      </c>
      <c r="Y15" s="22">
        <v>0.89</v>
      </c>
      <c r="Z15" s="22">
        <v>13.49</v>
      </c>
      <c r="AA15" s="22">
        <v>34.89</v>
      </c>
      <c r="AC15" s="22">
        <v>19.97</v>
      </c>
      <c r="AD15" s="27">
        <v>60.01</v>
      </c>
      <c r="AE15" s="27">
        <f t="shared" si="1"/>
        <v>6.0155812202227992</v>
      </c>
      <c r="AF15" s="27">
        <f t="shared" si="2"/>
        <v>6.1550888989599972</v>
      </c>
      <c r="AG15" s="28">
        <f t="shared" si="3"/>
        <v>1.1462612770788445</v>
      </c>
      <c r="AH15" s="46">
        <v>-6.2092749999999999</v>
      </c>
      <c r="AI15" s="46">
        <v>-42.602499999999999</v>
      </c>
      <c r="AJ15" s="47">
        <v>-17.34355</v>
      </c>
      <c r="AK15" s="47">
        <v>178.19820000000001</v>
      </c>
      <c r="AL15" s="48">
        <v>5.73</v>
      </c>
      <c r="AM15" s="30"/>
      <c r="AN15" s="30"/>
      <c r="AO15" s="30"/>
      <c r="AP15" s="30"/>
      <c r="AQ15" s="30"/>
      <c r="AR15" s="30"/>
      <c r="AS15" s="30">
        <v>1.35623</v>
      </c>
      <c r="AT15" s="30">
        <v>171.74100000000001</v>
      </c>
      <c r="AU15" s="30">
        <v>2.1430899999999999</v>
      </c>
      <c r="AV15" s="30">
        <v>0.51030900000000001</v>
      </c>
      <c r="AW15" s="22">
        <v>2.7562000000000002</v>
      </c>
      <c r="AX15" s="22">
        <v>1.25</v>
      </c>
      <c r="AY15" s="22">
        <v>344.40100000000001</v>
      </c>
    </row>
    <row r="16" spans="1:54" ht="18" x14ac:dyDescent="0.55000000000000004">
      <c r="A16" s="15">
        <v>45924</v>
      </c>
      <c r="B16" s="16" t="s">
        <v>72</v>
      </c>
      <c r="C16" s="16"/>
      <c r="D16" s="33">
        <v>0.48333333333333334</v>
      </c>
      <c r="E16" s="33"/>
      <c r="G16" s="22">
        <v>0.37</v>
      </c>
      <c r="H16" s="22" t="s">
        <v>74</v>
      </c>
      <c r="I16" s="22">
        <v>28.1</v>
      </c>
      <c r="J16" s="22">
        <v>0.49099999999999999</v>
      </c>
      <c r="K16" s="22">
        <v>26.8</v>
      </c>
      <c r="L16" s="22">
        <v>191.1</v>
      </c>
      <c r="M16" s="22">
        <v>27.2</v>
      </c>
      <c r="N16" s="22">
        <v>7.98</v>
      </c>
      <c r="O16" s="22">
        <v>26.5</v>
      </c>
      <c r="P16" s="22">
        <v>91</v>
      </c>
      <c r="Q16" s="16">
        <f t="shared" si="0"/>
        <v>222.1</v>
      </c>
      <c r="R16" s="22">
        <v>6</v>
      </c>
      <c r="S16" s="36"/>
      <c r="T16" s="45">
        <v>1.0999999999999999E-2</v>
      </c>
      <c r="U16" s="44">
        <v>7.0000000000000001E-3</v>
      </c>
      <c r="V16" s="37"/>
      <c r="W16" s="44">
        <v>7.0000000000000001E-3</v>
      </c>
      <c r="X16" s="22">
        <v>7.86</v>
      </c>
      <c r="Y16" s="22">
        <v>3.14</v>
      </c>
      <c r="Z16" s="22">
        <v>23.53</v>
      </c>
      <c r="AA16" s="22">
        <v>18.89</v>
      </c>
      <c r="AB16" s="22">
        <v>0.65</v>
      </c>
      <c r="AC16" s="22">
        <v>15.72</v>
      </c>
      <c r="AD16" s="22">
        <v>53.98</v>
      </c>
      <c r="AE16" s="27">
        <f t="shared" si="1"/>
        <v>4.4032455518852585</v>
      </c>
      <c r="AF16" s="27">
        <f t="shared" si="2"/>
        <v>4.8253683236917286</v>
      </c>
      <c r="AG16" s="28">
        <f t="shared" si="3"/>
        <v>4.5740647241033088</v>
      </c>
      <c r="AH16" s="46">
        <v>-4.6384420000000013</v>
      </c>
      <c r="AI16" s="46">
        <v>-31.91141</v>
      </c>
      <c r="AJ16" s="47">
        <v>-17.341283000000001</v>
      </c>
      <c r="AK16" s="47">
        <v>178.18973299999999</v>
      </c>
      <c r="AL16" s="48">
        <v>24.14</v>
      </c>
      <c r="AM16" s="30"/>
      <c r="AN16" s="30"/>
      <c r="AO16" s="30"/>
      <c r="AP16" s="30"/>
      <c r="AQ16" s="30"/>
      <c r="AR16" s="30"/>
      <c r="AS16" s="30">
        <v>26.680599999999998</v>
      </c>
      <c r="AT16" s="30">
        <v>275.66300000000001</v>
      </c>
      <c r="AU16" s="30">
        <v>19.336099999999998</v>
      </c>
      <c r="AV16" s="30">
        <v>0.49987900000000002</v>
      </c>
      <c r="AW16" s="22">
        <v>0.65179399999999998</v>
      </c>
      <c r="AX16" s="22">
        <v>0.78</v>
      </c>
      <c r="AY16" s="22">
        <v>185.06399999999999</v>
      </c>
    </row>
    <row r="17" spans="1:76" ht="18" x14ac:dyDescent="0.3">
      <c r="A17" s="15"/>
      <c r="B17" s="16"/>
      <c r="C17" s="16"/>
      <c r="D17" s="33"/>
      <c r="E17" s="33"/>
      <c r="Q17" s="16"/>
      <c r="S17" s="36"/>
      <c r="V17" s="35"/>
      <c r="W17" s="44"/>
      <c r="Y17" s="35"/>
      <c r="Z17" s="35"/>
      <c r="AA17" s="35"/>
      <c r="AB17" s="16"/>
      <c r="AC17" s="16"/>
      <c r="AD17" s="16"/>
      <c r="AE17" s="27"/>
      <c r="AF17" s="27"/>
      <c r="AG17" s="28"/>
      <c r="AJ17" s="31"/>
      <c r="AK17" s="31"/>
      <c r="AL17" s="31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BX17" s="22" t="s">
        <v>71</v>
      </c>
    </row>
    <row r="18" spans="1:76" x14ac:dyDescent="0.3">
      <c r="A18" s="15"/>
      <c r="B18" s="16"/>
      <c r="C18" s="16"/>
      <c r="D18" s="33"/>
      <c r="E18" s="33"/>
      <c r="Q18" s="16"/>
      <c r="S18" s="36"/>
      <c r="V18" s="35"/>
      <c r="Y18" s="35"/>
      <c r="Z18" s="35"/>
      <c r="AA18" s="35"/>
      <c r="AB18" s="16"/>
      <c r="AC18" s="16"/>
      <c r="AD18" s="16"/>
      <c r="AE18" s="27"/>
      <c r="AF18" s="27"/>
      <c r="AG18" s="28"/>
      <c r="AJ18" s="31"/>
      <c r="AK18" s="31"/>
      <c r="AL18" s="31"/>
      <c r="AM18" s="30"/>
      <c r="AN18" s="30"/>
      <c r="AO18" s="30"/>
      <c r="AP18" s="30"/>
      <c r="AQ18" s="30"/>
      <c r="AR18" s="30"/>
      <c r="AS18" s="30"/>
      <c r="AT18" s="30"/>
      <c r="AU18" s="30"/>
      <c r="AV18" s="30"/>
    </row>
    <row r="19" spans="1:76" x14ac:dyDescent="0.3">
      <c r="A19" s="15"/>
      <c r="B19" s="16"/>
      <c r="C19" s="16"/>
      <c r="D19" s="33"/>
      <c r="E19" s="33"/>
      <c r="Q19" s="16"/>
      <c r="S19" s="36"/>
      <c r="V19" s="35"/>
      <c r="AE19" s="27"/>
      <c r="AF19" s="27"/>
      <c r="AG19" s="28"/>
      <c r="AJ19" s="31"/>
      <c r="AK19" s="31"/>
      <c r="AL19" s="31"/>
      <c r="AM19" s="30"/>
      <c r="AN19" s="30"/>
      <c r="AO19" s="30"/>
      <c r="AP19" s="30"/>
      <c r="AQ19" s="30"/>
      <c r="AR19" s="30"/>
      <c r="AS19" s="30"/>
      <c r="AT19" s="30"/>
      <c r="AU19" s="30"/>
      <c r="AV19" s="30"/>
    </row>
    <row r="20" spans="1:76" x14ac:dyDescent="0.55000000000000004">
      <c r="A20" s="38"/>
      <c r="C20" s="16"/>
      <c r="D20" s="33"/>
      <c r="E20" s="33"/>
      <c r="F20" s="34"/>
      <c r="G20" s="34"/>
      <c r="J20" s="34"/>
      <c r="Q20" s="16"/>
      <c r="S20" s="32"/>
      <c r="V20" s="37"/>
      <c r="AE20" s="27"/>
      <c r="AF20" s="27"/>
      <c r="AG20" s="28"/>
    </row>
    <row r="21" spans="1:76" x14ac:dyDescent="0.55000000000000004">
      <c r="A21" s="38"/>
      <c r="C21" s="29"/>
      <c r="D21" s="33"/>
      <c r="E21" s="33"/>
      <c r="F21" s="34"/>
      <c r="G21" s="34"/>
      <c r="Q21" s="35"/>
      <c r="R21" s="39"/>
      <c r="S21" s="32"/>
      <c r="V21" s="35"/>
      <c r="AE21" s="27"/>
      <c r="AF21" s="27"/>
      <c r="AG21" s="28"/>
    </row>
    <row r="22" spans="1:76" x14ac:dyDescent="0.55000000000000004">
      <c r="A22" s="38"/>
      <c r="C22" s="29"/>
      <c r="D22" s="33"/>
      <c r="E22" s="33"/>
      <c r="S22" s="32"/>
      <c r="V22" s="35"/>
      <c r="AE22" s="27"/>
      <c r="AF22" s="27"/>
      <c r="AG22" s="28"/>
    </row>
    <row r="23" spans="1:76" x14ac:dyDescent="0.55000000000000004">
      <c r="A23" s="38"/>
      <c r="C23" s="29"/>
      <c r="D23" s="33"/>
      <c r="E23" s="33"/>
      <c r="F23" s="34"/>
      <c r="G23" s="34"/>
      <c r="S23" s="32"/>
      <c r="V23" s="35"/>
      <c r="AE23" s="27"/>
      <c r="AF23" s="27"/>
      <c r="AG23" s="28"/>
    </row>
    <row r="24" spans="1:76" x14ac:dyDescent="0.55000000000000004">
      <c r="A24" s="38"/>
      <c r="C24" s="29"/>
      <c r="D24" s="33"/>
      <c r="E24" s="33"/>
      <c r="F24" s="34"/>
      <c r="G24" s="34"/>
      <c r="R24" s="35"/>
      <c r="S24" s="32"/>
      <c r="V24" s="35"/>
      <c r="AE24" s="27"/>
      <c r="AF24" s="27"/>
      <c r="AG24" s="28"/>
    </row>
    <row r="25" spans="1:76" x14ac:dyDescent="0.55000000000000004">
      <c r="A25" s="38"/>
      <c r="C25" s="29"/>
      <c r="D25" s="33"/>
      <c r="E25" s="33"/>
      <c r="F25" s="34"/>
      <c r="G25" s="34"/>
      <c r="S25" s="32"/>
      <c r="V25" s="35"/>
      <c r="Y25" s="35"/>
      <c r="AE25" s="27"/>
      <c r="AF25" s="27"/>
      <c r="AG25" s="28"/>
    </row>
    <row r="26" spans="1:76" x14ac:dyDescent="0.55000000000000004">
      <c r="A26" s="38"/>
      <c r="C26" s="29"/>
      <c r="D26" s="33"/>
      <c r="E26" s="33"/>
      <c r="K26" s="35"/>
      <c r="Q26" s="35"/>
      <c r="S26" s="32"/>
      <c r="V26" s="35"/>
      <c r="AE26" s="27"/>
      <c r="AF26" s="27"/>
      <c r="AG26" s="28"/>
    </row>
    <row r="27" spans="1:76" x14ac:dyDescent="0.55000000000000004">
      <c r="V27" s="35"/>
      <c r="AE27" s="27"/>
      <c r="AF27" s="27"/>
      <c r="AG27" s="28"/>
    </row>
    <row r="28" spans="1:76" x14ac:dyDescent="0.55000000000000004">
      <c r="A28" s="38"/>
      <c r="C28" s="29"/>
      <c r="D28" s="33"/>
      <c r="E28" s="33"/>
      <c r="R28" s="35"/>
      <c r="V28" s="35"/>
      <c r="AE28" s="27"/>
      <c r="AF28" s="27"/>
      <c r="AG28" s="28"/>
    </row>
    <row r="29" spans="1:76" x14ac:dyDescent="0.55000000000000004">
      <c r="A29" s="38"/>
      <c r="C29" s="29"/>
      <c r="D29" s="33"/>
      <c r="E29" s="33"/>
      <c r="R29" s="35"/>
      <c r="V29" s="35"/>
      <c r="AE29" s="27"/>
      <c r="AF29" s="27"/>
      <c r="AG29" s="28"/>
    </row>
    <row r="30" spans="1:76" x14ac:dyDescent="0.55000000000000004">
      <c r="A30" s="38"/>
      <c r="C30" s="29"/>
      <c r="D30" s="33"/>
      <c r="E30" s="33"/>
      <c r="R30" s="40"/>
      <c r="V30" s="35"/>
      <c r="AE30" s="27"/>
      <c r="AF30" s="27"/>
      <c r="AG30" s="28"/>
    </row>
    <row r="31" spans="1:76" x14ac:dyDescent="0.55000000000000004">
      <c r="A31" s="38"/>
      <c r="C31" s="29"/>
      <c r="D31" s="33"/>
      <c r="E31" s="33"/>
      <c r="R31" s="40"/>
      <c r="V31" s="35"/>
      <c r="AE31" s="27"/>
      <c r="AF31" s="27"/>
      <c r="AG31" s="28"/>
    </row>
    <row r="32" spans="1:76" x14ac:dyDescent="0.55000000000000004">
      <c r="A32" s="38"/>
      <c r="C32" s="29"/>
      <c r="D32" s="33"/>
      <c r="E32" s="33"/>
      <c r="R32" s="35"/>
      <c r="V32" s="35"/>
      <c r="AE32" s="27"/>
      <c r="AF32" s="27"/>
      <c r="AG32" s="28"/>
    </row>
    <row r="33" spans="1:33" x14ac:dyDescent="0.55000000000000004">
      <c r="A33" s="38"/>
      <c r="C33" s="29"/>
      <c r="D33" s="33"/>
      <c r="E33" s="33"/>
      <c r="R33" s="35"/>
      <c r="V33" s="35"/>
      <c r="AE33" s="27"/>
      <c r="AF33" s="27"/>
      <c r="AG33" s="28"/>
    </row>
    <row r="34" spans="1:33" x14ac:dyDescent="0.55000000000000004">
      <c r="A34" s="38"/>
      <c r="C34" s="29"/>
      <c r="D34" s="33"/>
      <c r="E34" s="33"/>
      <c r="R34" s="40"/>
      <c r="V34" s="35"/>
    </row>
    <row r="35" spans="1:33" x14ac:dyDescent="0.55000000000000004">
      <c r="V35" s="35"/>
    </row>
    <row r="36" spans="1:33" x14ac:dyDescent="0.55000000000000004">
      <c r="A36" s="38"/>
      <c r="C36" s="29"/>
      <c r="D36" s="33"/>
      <c r="E36" s="33"/>
      <c r="V36" s="35"/>
      <c r="X36" s="35"/>
      <c r="Y36" s="35"/>
      <c r="Z36" s="35"/>
      <c r="AA36" s="41"/>
      <c r="AB36" s="41"/>
      <c r="AC36" s="41"/>
      <c r="AD36" s="41"/>
    </row>
    <row r="37" spans="1:33" x14ac:dyDescent="0.55000000000000004">
      <c r="A37" s="38"/>
      <c r="C37" s="29"/>
      <c r="D37" s="33"/>
      <c r="E37" s="33"/>
      <c r="R37" s="40"/>
      <c r="V37" s="37"/>
      <c r="X37" s="35"/>
      <c r="Y37" s="35"/>
      <c r="Z37" s="35"/>
    </row>
    <row r="38" spans="1:33" x14ac:dyDescent="0.55000000000000004">
      <c r="A38" s="38"/>
      <c r="C38" s="29"/>
      <c r="D38" s="33"/>
      <c r="E38" s="33"/>
      <c r="R38" s="40"/>
      <c r="V38" s="35"/>
      <c r="X38" s="35"/>
      <c r="Y38" s="35"/>
      <c r="Z38" s="35"/>
    </row>
    <row r="39" spans="1:33" x14ac:dyDescent="0.55000000000000004">
      <c r="A39" s="38"/>
      <c r="C39" s="29"/>
      <c r="D39" s="33"/>
      <c r="E39" s="33"/>
      <c r="R39" s="40"/>
      <c r="V39" s="35"/>
      <c r="X39" s="35"/>
      <c r="Y39" s="35"/>
      <c r="Z39" s="35"/>
    </row>
    <row r="40" spans="1:33" x14ac:dyDescent="0.55000000000000004">
      <c r="A40" s="38"/>
      <c r="C40" s="29"/>
      <c r="D40" s="33"/>
      <c r="E40" s="33"/>
      <c r="V40" s="37"/>
      <c r="X40" s="35"/>
      <c r="Y40" s="35"/>
      <c r="Z40" s="35"/>
    </row>
    <row r="41" spans="1:33" x14ac:dyDescent="0.55000000000000004">
      <c r="A41" s="38"/>
      <c r="C41" s="29"/>
      <c r="D41" s="33"/>
      <c r="E41" s="33"/>
      <c r="V41" s="35"/>
      <c r="X41" s="35"/>
      <c r="Y41" s="35"/>
      <c r="Z41" s="35"/>
    </row>
    <row r="42" spans="1:33" x14ac:dyDescent="0.55000000000000004">
      <c r="A42" s="38"/>
      <c r="C42" s="29"/>
      <c r="D42" s="33"/>
      <c r="E42" s="33"/>
      <c r="Q42" s="35"/>
      <c r="V42" s="35"/>
      <c r="X42" s="35"/>
      <c r="Y42" s="35"/>
      <c r="Z42" s="35"/>
    </row>
    <row r="43" spans="1:33" x14ac:dyDescent="0.55000000000000004">
      <c r="A43" s="38"/>
      <c r="V43" s="35"/>
    </row>
    <row r="44" spans="1:33" x14ac:dyDescent="0.55000000000000004">
      <c r="A44" s="38"/>
      <c r="C44" s="29"/>
      <c r="D44" s="33"/>
      <c r="E44" s="33"/>
      <c r="R44" s="35"/>
      <c r="V44" s="35"/>
    </row>
    <row r="45" spans="1:33" x14ac:dyDescent="0.55000000000000004">
      <c r="A45" s="38"/>
      <c r="C45" s="29"/>
      <c r="D45" s="33"/>
      <c r="E45" s="33"/>
      <c r="R45" s="35"/>
      <c r="V45" s="35"/>
    </row>
    <row r="46" spans="1:33" x14ac:dyDescent="0.55000000000000004">
      <c r="A46" s="38"/>
      <c r="C46" s="29"/>
      <c r="D46" s="33"/>
      <c r="E46" s="33"/>
      <c r="F46" s="34"/>
      <c r="G46" s="34"/>
      <c r="R46" s="35"/>
      <c r="V46" s="35"/>
    </row>
    <row r="47" spans="1:33" x14ac:dyDescent="0.55000000000000004">
      <c r="A47" s="38"/>
      <c r="C47" s="29"/>
      <c r="D47" s="33"/>
      <c r="E47" s="33"/>
      <c r="R47" s="35"/>
      <c r="V47" s="35"/>
    </row>
    <row r="48" spans="1:33" x14ac:dyDescent="0.55000000000000004">
      <c r="A48" s="38"/>
      <c r="D48" s="33"/>
      <c r="E48" s="33"/>
      <c r="R48" s="35"/>
    </row>
    <row r="49" spans="1:30" x14ac:dyDescent="0.55000000000000004">
      <c r="A49" s="38"/>
    </row>
    <row r="50" spans="1:30" x14ac:dyDescent="0.55000000000000004">
      <c r="A50" s="38"/>
      <c r="C50" s="29"/>
      <c r="D50" s="33"/>
      <c r="E50" s="33"/>
      <c r="R50" s="35"/>
    </row>
    <row r="51" spans="1:30" x14ac:dyDescent="0.55000000000000004">
      <c r="A51" s="38"/>
      <c r="C51" s="29"/>
      <c r="D51" s="33"/>
      <c r="E51" s="33"/>
      <c r="R51" s="35"/>
    </row>
    <row r="52" spans="1:30" x14ac:dyDescent="0.55000000000000004">
      <c r="A52" s="38"/>
      <c r="C52" s="29"/>
      <c r="D52" s="33"/>
      <c r="E52" s="33"/>
      <c r="F52" s="34"/>
      <c r="G52" s="34"/>
      <c r="R52" s="35"/>
    </row>
    <row r="53" spans="1:30" x14ac:dyDescent="0.55000000000000004">
      <c r="A53" s="38"/>
      <c r="C53" s="29"/>
      <c r="D53" s="33"/>
      <c r="E53" s="33"/>
      <c r="R53" s="35"/>
    </row>
    <row r="55" spans="1:30" x14ac:dyDescent="0.55000000000000004">
      <c r="A55" s="38"/>
      <c r="C55" s="29"/>
      <c r="D55" s="33"/>
      <c r="E55" s="33"/>
      <c r="H55" s="30"/>
      <c r="R55" s="35"/>
    </row>
    <row r="56" spans="1:30" x14ac:dyDescent="0.55000000000000004">
      <c r="A56" s="38"/>
      <c r="C56" s="29"/>
      <c r="D56" s="33"/>
      <c r="E56" s="33"/>
      <c r="H56" s="30"/>
      <c r="R56" s="35"/>
    </row>
    <row r="57" spans="1:30" x14ac:dyDescent="0.55000000000000004">
      <c r="A57" s="38"/>
      <c r="C57" s="29"/>
      <c r="D57" s="33"/>
      <c r="E57" s="33"/>
      <c r="H57" s="30"/>
      <c r="R57" s="35"/>
      <c r="AA57" s="35"/>
      <c r="AB57" s="35"/>
      <c r="AC57" s="35"/>
      <c r="AD57" s="35"/>
    </row>
    <row r="58" spans="1:30" x14ac:dyDescent="0.55000000000000004">
      <c r="A58" s="38"/>
      <c r="C58" s="29"/>
      <c r="D58" s="33"/>
      <c r="E58" s="33"/>
      <c r="H58" s="30"/>
      <c r="R58" s="35"/>
    </row>
    <row r="59" spans="1:30" x14ac:dyDescent="0.55000000000000004">
      <c r="A59" s="38"/>
      <c r="C59" s="29"/>
      <c r="D59" s="33"/>
      <c r="E59" s="33"/>
      <c r="H59" s="30"/>
      <c r="R59" s="35"/>
    </row>
    <row r="60" spans="1:30" x14ac:dyDescent="0.55000000000000004">
      <c r="A60" s="38"/>
      <c r="D60" s="33"/>
      <c r="E60" s="33"/>
      <c r="H60" s="30"/>
      <c r="M60" s="35"/>
      <c r="N60" s="35"/>
      <c r="O60" s="35"/>
      <c r="R60" s="35"/>
    </row>
    <row r="62" spans="1:30" x14ac:dyDescent="0.55000000000000004">
      <c r="A62" s="38"/>
      <c r="C62" s="29"/>
      <c r="D62" s="33"/>
      <c r="E62" s="33"/>
      <c r="R62" s="35"/>
    </row>
    <row r="63" spans="1:30" x14ac:dyDescent="0.55000000000000004">
      <c r="A63" s="38"/>
      <c r="C63" s="29"/>
      <c r="D63" s="33"/>
      <c r="E63" s="33"/>
      <c r="R63" s="35"/>
    </row>
    <row r="64" spans="1:30" x14ac:dyDescent="0.55000000000000004">
      <c r="A64" s="38"/>
      <c r="C64" s="29"/>
      <c r="D64" s="33"/>
      <c r="E64" s="33"/>
      <c r="F64" s="34"/>
      <c r="G64" s="34"/>
      <c r="R64" s="35"/>
    </row>
    <row r="65" spans="1:20" x14ac:dyDescent="0.55000000000000004">
      <c r="A65" s="38"/>
      <c r="C65" s="29"/>
      <c r="R65" s="35"/>
    </row>
    <row r="67" spans="1:20" x14ac:dyDescent="0.55000000000000004">
      <c r="A67" s="38"/>
      <c r="C67" s="29"/>
      <c r="D67" s="33"/>
      <c r="E67" s="33"/>
      <c r="H67" s="30"/>
    </row>
    <row r="68" spans="1:20" x14ac:dyDescent="0.55000000000000004">
      <c r="A68" s="38"/>
      <c r="C68" s="29"/>
      <c r="D68" s="33"/>
      <c r="E68" s="33"/>
      <c r="H68" s="30"/>
    </row>
    <row r="69" spans="1:20" x14ac:dyDescent="0.55000000000000004">
      <c r="A69" s="38"/>
      <c r="C69" s="29"/>
      <c r="D69" s="33"/>
      <c r="E69" s="33"/>
      <c r="F69" s="34"/>
      <c r="G69" s="34"/>
      <c r="H69" s="30"/>
      <c r="R69" s="35"/>
    </row>
    <row r="70" spans="1:20" x14ac:dyDescent="0.55000000000000004">
      <c r="A70" s="38"/>
      <c r="C70" s="29"/>
      <c r="D70" s="33"/>
      <c r="E70" s="33"/>
      <c r="H70" s="30"/>
      <c r="K70" s="35"/>
    </row>
    <row r="72" spans="1:20" x14ac:dyDescent="0.55000000000000004">
      <c r="A72" s="38"/>
      <c r="C72" s="29"/>
    </row>
    <row r="73" spans="1:20" x14ac:dyDescent="0.55000000000000004">
      <c r="A73" s="38"/>
      <c r="C73" s="29"/>
      <c r="D73" s="33"/>
      <c r="E73" s="33"/>
    </row>
    <row r="74" spans="1:20" x14ac:dyDescent="0.55000000000000004">
      <c r="A74" s="38"/>
      <c r="C74" s="29"/>
      <c r="F74" s="34"/>
      <c r="G74" s="34"/>
      <c r="T74" s="30"/>
    </row>
    <row r="75" spans="1:20" x14ac:dyDescent="0.55000000000000004">
      <c r="A75" s="38"/>
      <c r="C75" s="29"/>
      <c r="D75" s="33"/>
      <c r="E75" s="33"/>
    </row>
  </sheetData>
  <mergeCells count="6">
    <mergeCell ref="H1:H2"/>
    <mergeCell ref="AZ1:BA1"/>
    <mergeCell ref="A1:A2"/>
    <mergeCell ref="B1:B2"/>
    <mergeCell ref="C1:C2"/>
    <mergeCell ref="D1:D2"/>
  </mergeCells>
  <phoneticPr fontId="1"/>
  <conditionalFormatting sqref="AV4:AV19">
    <cfRule type="cellIs" dxfId="0" priority="1" operator="notBetween">
      <formula>-5</formula>
      <formula>5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e07390-f831-4d2b-be73-3afb3f5bfcd6" xsi:nil="true"/>
    <lcf76f155ced4ddcb4097134ff3c332f xmlns="a07299a0-9370-4fe4-811f-99cab567013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BE35C60DFF03047A185F43ED27ACF68" ma:contentTypeVersion="15" ma:contentTypeDescription="新しいドキュメントを作成します。" ma:contentTypeScope="" ma:versionID="e974dd7cfb24de429d18126e3badeb85">
  <xsd:schema xmlns:xsd="http://www.w3.org/2001/XMLSchema" xmlns:xs="http://www.w3.org/2001/XMLSchema" xmlns:p="http://schemas.microsoft.com/office/2006/metadata/properties" xmlns:ns2="a07299a0-9370-4fe4-811f-99cab5670137" xmlns:ns3="43e07390-f831-4d2b-be73-3afb3f5bfcd6" targetNamespace="http://schemas.microsoft.com/office/2006/metadata/properties" ma:root="true" ma:fieldsID="3dcf542283126501303e177421c633ca" ns2:_="" ns3:_="">
    <xsd:import namespace="a07299a0-9370-4fe4-811f-99cab5670137"/>
    <xsd:import namespace="43e07390-f831-4d2b-be73-3afb3f5bf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7299a0-9370-4fe4-811f-99cab56701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26e373b0-f815-407f-b095-d5249922ca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07390-f831-4d2b-be73-3afb3f5bf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df7b770-a79e-4ffc-acc9-873fd1293f2c}" ma:internalName="TaxCatchAll" ma:showField="CatchAllData" ma:web="43e07390-f831-4d2b-be73-3afb3f5bf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634A33-8209-436A-B0AF-16A64FC4707E}">
  <ds:schemaRefs>
    <ds:schemaRef ds:uri="http://schemas.microsoft.com/office/2006/metadata/properties"/>
    <ds:schemaRef ds:uri="http://www.w3.org/2000/xmlns/"/>
    <ds:schemaRef ds:uri="43e07390-f831-4d2b-be73-3afb3f5bfcd6"/>
    <ds:schemaRef ds:uri="http://www.w3.org/2001/XMLSchema-instance"/>
    <ds:schemaRef ds:uri="a07299a0-9370-4fe4-811f-99cab5670137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FDB4A4-9E71-492D-9DEB-96994F5207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E2346-F1DE-4613-BCD1-C864BEFEF8D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07299a0-9370-4fe4-811f-99cab5670137"/>
    <ds:schemaRef ds:uri="43e07390-f831-4d2b-be73-3afb3f5bfcd6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Nakaya Lab</dc:creator>
  <cp:keywords/>
  <dc:description/>
  <cp:lastModifiedBy>安元　純</cp:lastModifiedBy>
  <cp:revision/>
  <dcterms:created xsi:type="dcterms:W3CDTF">2021-05-10T23:46:54Z</dcterms:created>
  <dcterms:modified xsi:type="dcterms:W3CDTF">2026-03-11T10:40:26Z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0x0101002BE35C60DFF03047A185F43ED27ACF68</vt:lpwstr>
  </property>
  <property fmtid="{D5CDD505-2E9C-101B-9397-08002B2CF9AE}" pid="3" name="MediaServiceImageTags">
    <vt:lpwstr/>
  </property>
</Properties>
</file>